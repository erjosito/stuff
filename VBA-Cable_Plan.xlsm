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7A2D7E96-6E34-419A-AE5F-296B3A7E7977}"/>
  <workbookPr codeName="ThisWorkbook" autoCompressPictures="0"/>
  <bookViews>
    <workbookView xWindow="480" yWindow="340" windowWidth="26860" windowHeight="15160"/>
  </bookViews>
  <sheets>
    <sheet name="CablePlan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9" i="1" l="1"/>
  <c r="J9" i="1"/>
  <c r="I9" i="1"/>
  <c r="H9" i="1"/>
  <c r="G9" i="1" a="1"/>
  <c r="G9" i="1"/>
  <c r="K8" i="1"/>
  <c r="J8" i="1"/>
  <c r="I8" i="1"/>
  <c r="H8" i="1"/>
  <c r="G8" i="1" a="1"/>
  <c r="G8" i="1"/>
  <c r="K7" i="1"/>
  <c r="J7" i="1"/>
  <c r="I7" i="1"/>
  <c r="H7" i="1"/>
  <c r="G7" i="1" a="1"/>
  <c r="G7" i="1"/>
  <c r="K6" i="1"/>
  <c r="J6" i="1"/>
  <c r="I6" i="1"/>
  <c r="H6" i="1"/>
  <c r="G6" i="1" a="1"/>
  <c r="G6" i="1"/>
  <c r="K5" i="1"/>
  <c r="J5" i="1"/>
  <c r="I5" i="1"/>
  <c r="H5" i="1"/>
  <c r="G5" i="1" a="1"/>
  <c r="G5" i="1"/>
  <c r="K4" i="1"/>
  <c r="J4" i="1"/>
  <c r="I4" i="1"/>
  <c r="H4" i="1"/>
  <c r="G4" i="1" a="1"/>
  <c r="G4" i="1"/>
  <c r="K3" i="1"/>
  <c r="G3" i="1" a="1"/>
  <c r="G3" i="1"/>
  <c r="H3" i="1"/>
  <c r="I3" i="1"/>
  <c r="J3" i="1"/>
</calcChain>
</file>

<file path=xl/sharedStrings.xml><?xml version="1.0" encoding="utf-8"?>
<sst xmlns="http://schemas.openxmlformats.org/spreadsheetml/2006/main" count="122" uniqueCount="60">
  <si>
    <t>Rack</t>
  </si>
  <si>
    <t>Port</t>
  </si>
  <si>
    <t>Server</t>
  </si>
  <si>
    <t>Active/active</t>
  </si>
  <si>
    <t>Speed (Gbps)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</si>
  <si>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</si>
  <si>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</si>
  <si>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</si>
  <si>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</si>
  <si>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</si>
  <si>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</si>
  <si>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</si>
  <si>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</si>
  <si>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Port prof name</t>
  </si>
  <si>
    <t>server-0133</t>
  </si>
  <si>
    <t>Yes</t>
  </si>
  <si>
    <t>1G</t>
  </si>
  <si>
    <t>No</t>
  </si>
  <si>
    <t>1G-noCDP</t>
  </si>
  <si>
    <t>1G-noCDP-Infra</t>
  </si>
  <si>
    <t>10G</t>
  </si>
  <si>
    <t>Switches</t>
  </si>
  <si>
    <t>201-202</t>
  </si>
  <si>
    <t>203-204</t>
  </si>
  <si>
    <t>205-206</t>
  </si>
  <si>
    <t>VLAN</t>
  </si>
  <si>
    <t>Native</t>
  </si>
  <si>
    <t>VPC standard policies</t>
  </si>
  <si>
    <t>CDP_ON</t>
  </si>
  <si>
    <t>LLDP_ON</t>
  </si>
  <si>
    <t>link_default</t>
  </si>
  <si>
    <t>Zones</t>
  </si>
  <si>
    <t>DVS config</t>
  </si>
  <si>
    <t>VLANs available</t>
  </si>
  <si>
    <t>UCSC-ESX</t>
  </si>
  <si>
    <t>ACI, legacy, VM</t>
  </si>
  <si>
    <t>UCSB-ESX</t>
  </si>
  <si>
    <t>Infra</t>
  </si>
  <si>
    <t>n/a</t>
  </si>
  <si>
    <t>legacy</t>
  </si>
  <si>
    <t>UCSC-BM</t>
  </si>
  <si>
    <t>ACI, legacy</t>
  </si>
  <si>
    <t>default</t>
  </si>
  <si>
    <t>ACI</t>
  </si>
  <si>
    <t>Host_sim</t>
  </si>
  <si>
    <t>server-0134</t>
  </si>
  <si>
    <t>LLP</t>
  </si>
  <si>
    <t>server-0135</t>
  </si>
  <si>
    <t>server-0136</t>
  </si>
  <si>
    <t>server-0137</t>
  </si>
  <si>
    <t>server-0138</t>
  </si>
  <si>
    <t>server-0139</t>
  </si>
  <si>
    <t>Tenant</t>
  </si>
  <si>
    <t>App</t>
  </si>
  <si>
    <t>Group</t>
  </si>
  <si>
    <t>Acme</t>
  </si>
  <si>
    <t>MyApp1</t>
  </si>
  <si>
    <t>Tier1</t>
  </si>
  <si>
    <t>Tier2</t>
  </si>
  <si>
    <t>Backup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</si>
</sst>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indexed="72"/>
      <name val="Lucida Grande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3" fillId="0" borderId="0" xfId="0" applyFont="1"/>
    <xf numFmtId="17" fontId="0" fillId="0" borderId="0" xfId="0" quotePrefix="1" applyNumberFormat="1"/>
    <xf numFmtId="0" fontId="6" fillId="0" borderId="0" xfId="0" applyFont="1" applyAlignment="1">
      <alignment vertical="center"/>
    </xf>
    <xf numFmtId="0" fontId="4" fillId="0" borderId="0" xfId="21" applyAlignment="1">
      <alignment vertical="center"/>
    </xf>
  </cellXfs>
  <cellStyles count="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0</xdr:rowOff>
        </xdr:from>
        <xdr:to>
          <xdr:col>11</xdr:col>
          <xdr:colOff>939800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</xdr:row>
          <xdr:rowOff>215900</xdr:rowOff>
        </xdr:from>
        <xdr:to>
          <xdr:col>11</xdr:col>
          <xdr:colOff>977900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Q25"/>
  <sheetViews>
    <sheetView tabSelected="1" workbookViewId="0">
      <selection activeCell="C17" sqref="C17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12.6640625" style="1" customWidth="1"/>
    <col min="4" max="8" width="9.1640625" style="1"/>
    <col min="9" max="9" width="13.33203125" style="1" customWidth="1"/>
    <col min="10" max="10" width="11.83203125" style="1" customWidth="1"/>
    <col min="11" max="11" width="9.1640625" style="1"/>
    <col min="12" max="12" width="17.6640625" style="1" customWidth="1"/>
    <col min="13" max="16384" width="9.1640625" style="1"/>
  </cols>
  <sheetData>
    <row r="2" spans="1:17" ht="18" customHeight="1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46</v>
      </c>
      <c r="L2"/>
      <c r="M2" s="2" t="s">
        <v>10</v>
      </c>
      <c r="N2" s="2" t="s">
        <v>11</v>
      </c>
      <c r="O2" s="2" t="s">
        <v>12</v>
      </c>
      <c r="P2" s="2" t="s">
        <v>13</v>
      </c>
    </row>
    <row r="3" spans="1:17" ht="18" customHeight="1">
      <c r="A3">
        <v>1</v>
      </c>
      <c r="B3">
        <v>33</v>
      </c>
      <c r="C3" t="s">
        <v>14</v>
      </c>
      <c r="D3" t="s">
        <v>17</v>
      </c>
      <c r="E3">
        <v>10</v>
      </c>
      <c r="F3"/>
      <c r="G3" s="3" t="str">
        <f t="array" ref="G3">INDEX($P$3:$P$8,MATCH(E3&amp;"Yes"&amp;"Yes",$M$3:$M$8&amp;$N$3:$N$8&amp;$O$3:$O$8,0))</f>
        <v>10G</v>
      </c>
      <c r="H3" s="3" t="str">
        <f>IF(LEN(F3)=0,"default",F3)</f>
        <v>default</v>
      </c>
      <c r="I3" s="3" t="str">
        <f>LOOKUP(A3,$M$9:$M$11,$N$9:$N$11)</f>
        <v>201-202</v>
      </c>
      <c r="J3" s="3" t="str">
        <f>IF(D3="Yes",C3,"N/A")</f>
        <v>N/A</v>
      </c>
      <c r="K3" s="3" t="str">
        <f>IF(D3="Yes",IF(E3=1,"1G-NoNeg","10G-NoNeg"),"N/A")</f>
        <v>N/A</v>
      </c>
      <c r="L3"/>
      <c r="M3">
        <v>1</v>
      </c>
      <c r="N3" t="s">
        <v>15</v>
      </c>
      <c r="O3" t="s">
        <v>15</v>
      </c>
      <c r="P3" t="s">
        <v>16</v>
      </c>
    </row>
    <row r="4" spans="1:17" ht="18" customHeight="1">
      <c r="A4">
        <v>1</v>
      </c>
      <c r="B4">
        <v>34</v>
      </c>
      <c r="C4" t="s">
        <v>45</v>
      </c>
      <c r="D4" t="s">
        <v>15</v>
      </c>
      <c r="E4">
        <v>1</v>
      </c>
      <c r="F4"/>
      <c r="G4" s="3" t="str">
        <f t="array" ref="G4">INDEX($P$3:$P$8,MATCH(E4&amp;"Yes"&amp;"Yes",$M$3:$M$8&amp;$N$3:$N$8&amp;$O$3:$O$8,0))</f>
        <v>1G</v>
      </c>
      <c r="H4" s="3" t="str">
        <f>IF(LEN(F4)=0,"default",F4)</f>
        <v>default</v>
      </c>
      <c r="I4" s="3" t="str">
        <f>LOOKUP(A4,$M$9:$M$11,$N$9:$N$11)</f>
        <v>201-202</v>
      </c>
      <c r="J4" s="3" t="str">
        <f>IF(D4="Yes",C4,"N/A")</f>
        <v>server-0134</v>
      </c>
      <c r="K4" s="3" t="str">
        <f>IF(D4="Yes",IF(E4=1,"1G-NoNeg","10G-NoNeg"),"N/A")</f>
        <v>1G-NoNeg</v>
      </c>
      <c r="L4"/>
      <c r="M4">
        <v>1</v>
      </c>
      <c r="N4" t="s">
        <v>17</v>
      </c>
      <c r="O4" t="s">
        <v>17</v>
      </c>
      <c r="P4" t="s">
        <v>18</v>
      </c>
    </row>
    <row r="5" spans="1:17" ht="18" customHeight="1">
      <c r="A5">
        <v>1</v>
      </c>
      <c r="B5">
        <v>35</v>
      </c>
      <c r="C5" t="s">
        <v>47</v>
      </c>
      <c r="D5" t="s">
        <v>17</v>
      </c>
      <c r="E5">
        <v>10</v>
      </c>
      <c r="F5"/>
      <c r="G5" s="3" t="str">
        <f t="array" ref="G5">INDEX($P$3:$P$8,MATCH(E5&amp;"Yes"&amp;"Yes",$M$3:$M$8&amp;$N$3:$N$8&amp;$O$3:$O$8,0))</f>
        <v>10G</v>
      </c>
      <c r="H5" s="3" t="str">
        <f t="shared" ref="H5:H9" si="0">IF(LEN(F5)=0,"default",F5)</f>
        <v>default</v>
      </c>
      <c r="I5" s="3" t="str">
        <f t="shared" ref="I5:I9" si="1">LOOKUP(A5,$M$9:$M$11,$N$9:$N$11)</f>
        <v>201-202</v>
      </c>
      <c r="J5" s="3" t="str">
        <f t="shared" ref="J5:J9" si="2">IF(D5="Yes",C5,"N/A")</f>
        <v>N/A</v>
      </c>
      <c r="K5" s="3" t="str">
        <f t="shared" ref="K5:K9" si="3">IF(D5="Yes",IF(E5=1,"1G-NoNeg","10G-NoNeg"),"N/A")</f>
        <v>N/A</v>
      </c>
      <c r="L5"/>
      <c r="M5">
        <v>1</v>
      </c>
      <c r="N5" t="s">
        <v>17</v>
      </c>
      <c r="O5" t="s">
        <v>15</v>
      </c>
      <c r="P5" t="s">
        <v>19</v>
      </c>
    </row>
    <row r="6" spans="1:17" ht="18" customHeight="1">
      <c r="A6">
        <v>1</v>
      </c>
      <c r="B6">
        <v>36</v>
      </c>
      <c r="C6" t="s">
        <v>48</v>
      </c>
      <c r="D6" t="s">
        <v>17</v>
      </c>
      <c r="E6">
        <v>1</v>
      </c>
      <c r="F6"/>
      <c r="G6" s="3" t="str">
        <f t="array" ref="G6">INDEX($P$3:$P$8,MATCH(E6&amp;"Yes"&amp;"Yes",$M$3:$M$8&amp;$N$3:$N$8&amp;$O$3:$O$8,0))</f>
        <v>1G</v>
      </c>
      <c r="H6" s="3" t="str">
        <f t="shared" si="0"/>
        <v>default</v>
      </c>
      <c r="I6" s="3" t="str">
        <f t="shared" si="1"/>
        <v>201-202</v>
      </c>
      <c r="J6" s="3" t="str">
        <f t="shared" si="2"/>
        <v>N/A</v>
      </c>
      <c r="K6" s="3" t="str">
        <f t="shared" si="3"/>
        <v>N/A</v>
      </c>
      <c r="L6"/>
      <c r="M6">
        <v>10</v>
      </c>
      <c r="N6" t="s">
        <v>15</v>
      </c>
      <c r="O6" t="s">
        <v>15</v>
      </c>
      <c r="P6" t="s">
        <v>20</v>
      </c>
    </row>
    <row r="7" spans="1:17" ht="18" customHeight="1">
      <c r="A7">
        <v>1</v>
      </c>
      <c r="B7">
        <v>37</v>
      </c>
      <c r="C7" t="s">
        <v>49</v>
      </c>
      <c r="D7" t="s">
        <v>15</v>
      </c>
      <c r="E7">
        <v>10</v>
      </c>
      <c r="F7"/>
      <c r="G7" s="3" t="str">
        <f t="array" ref="G7">INDEX($P$3:$P$8,MATCH(E7&amp;"Yes"&amp;"Yes",$M$3:$M$8&amp;$N$3:$N$8&amp;$O$3:$O$8,0))</f>
        <v>10G</v>
      </c>
      <c r="H7" s="3" t="str">
        <f t="shared" si="0"/>
        <v>default</v>
      </c>
      <c r="I7" s="3" t="str">
        <f t="shared" si="1"/>
        <v>201-202</v>
      </c>
      <c r="J7" s="3" t="str">
        <f t="shared" si="2"/>
        <v>server-0137</v>
      </c>
      <c r="K7" s="3" t="str">
        <f t="shared" si="3"/>
        <v>10G-NoNeg</v>
      </c>
      <c r="L7"/>
      <c r="M7"/>
      <c r="N7"/>
      <c r="O7"/>
      <c r="P7"/>
    </row>
    <row r="8" spans="1:17" ht="18" customHeight="1">
      <c r="A8">
        <v>1</v>
      </c>
      <c r="B8">
        <v>38</v>
      </c>
      <c r="C8" t="s">
        <v>50</v>
      </c>
      <c r="D8" t="s">
        <v>15</v>
      </c>
      <c r="E8">
        <v>10</v>
      </c>
      <c r="F8"/>
      <c r="G8" s="3" t="str">
        <f t="array" ref="G8">INDEX($P$3:$P$8,MATCH(E8&amp;"Yes"&amp;"Yes",$M$3:$M$8&amp;$N$3:$N$8&amp;$O$3:$O$8,0))</f>
        <v>10G</v>
      </c>
      <c r="H8" s="3" t="str">
        <f t="shared" si="0"/>
        <v>default</v>
      </c>
      <c r="I8" s="3" t="str">
        <f t="shared" si="1"/>
        <v>201-202</v>
      </c>
      <c r="J8" s="3" t="str">
        <f t="shared" si="2"/>
        <v>server-0138</v>
      </c>
      <c r="K8" s="3" t="str">
        <f t="shared" si="3"/>
        <v>10G-NoNeg</v>
      </c>
      <c r="L8"/>
      <c r="M8" s="2" t="s">
        <v>0</v>
      </c>
      <c r="N8" s="2" t="s">
        <v>21</v>
      </c>
      <c r="O8"/>
      <c r="P8"/>
      <c r="Q8" s="5"/>
    </row>
    <row r="9" spans="1:17" ht="18" customHeight="1">
      <c r="A9">
        <v>1</v>
      </c>
      <c r="B9">
        <v>39</v>
      </c>
      <c r="C9" t="s">
        <v>51</v>
      </c>
      <c r="D9" t="s">
        <v>15</v>
      </c>
      <c r="E9">
        <v>10</v>
      </c>
      <c r="F9"/>
      <c r="G9" s="3" t="str">
        <f t="array" ref="G9">INDEX($P$3:$P$8,MATCH(E9&amp;"Yes"&amp;"Yes",$M$3:$M$8&amp;$N$3:$N$8&amp;$O$3:$O$8,0))</f>
        <v>10G</v>
      </c>
      <c r="H9" s="3" t="str">
        <f t="shared" si="0"/>
        <v>default</v>
      </c>
      <c r="I9" s="3" t="str">
        <f t="shared" si="1"/>
        <v>201-202</v>
      </c>
      <c r="J9" s="3" t="str">
        <f t="shared" si="2"/>
        <v>server-0139</v>
      </c>
      <c r="K9" s="3" t="str">
        <f t="shared" si="3"/>
        <v>10G-NoNeg</v>
      </c>
      <c r="L9"/>
      <c r="M9">
        <v>1</v>
      </c>
      <c r="N9" t="s">
        <v>22</v>
      </c>
      <c r="O9"/>
      <c r="P9"/>
      <c r="Q9" s="6"/>
    </row>
    <row r="10" spans="1:17" ht="18" customHeight="1">
      <c r="A10"/>
      <c r="B10"/>
      <c r="C10"/>
      <c r="D10"/>
      <c r="E10"/>
      <c r="F10"/>
      <c r="G10" s="3"/>
      <c r="H10" s="3"/>
      <c r="I10" s="3"/>
      <c r="J10" s="3"/>
      <c r="K10" s="3"/>
      <c r="L10"/>
      <c r="M10">
        <v>2</v>
      </c>
      <c r="N10" t="s">
        <v>23</v>
      </c>
      <c r="O10"/>
      <c r="P10"/>
    </row>
    <row r="11" spans="1:17" ht="18" customHeight="1">
      <c r="A11"/>
      <c r="B11"/>
      <c r="C11"/>
      <c r="D11"/>
      <c r="E11"/>
      <c r="F11"/>
      <c r="G11"/>
      <c r="H11"/>
      <c r="I11"/>
      <c r="J11"/>
      <c r="K11"/>
      <c r="L11"/>
      <c r="M11">
        <v>3</v>
      </c>
      <c r="N11" t="s">
        <v>24</v>
      </c>
      <c r="O11"/>
      <c r="P11"/>
    </row>
    <row r="12" spans="1:17" ht="18" customHeight="1">
      <c r="A12" s="2" t="s">
        <v>2</v>
      </c>
      <c r="B12" s="2" t="s">
        <v>25</v>
      </c>
      <c r="C12" s="5" t="s">
        <v>52</v>
      </c>
      <c r="D12" s="5" t="s">
        <v>53</v>
      </c>
      <c r="E12" s="2" t="s">
        <v>54</v>
      </c>
      <c r="F12" s="2" t="s">
        <v>26</v>
      </c>
      <c r="G12"/>
      <c r="H12"/>
      <c r="I12"/>
      <c r="J12"/>
      <c r="K12"/>
      <c r="L12"/>
      <c r="M12"/>
      <c r="N12"/>
      <c r="O12"/>
      <c r="P12"/>
    </row>
    <row r="13" spans="1:17" ht="18" customHeight="1">
      <c r="A13" t="s">
        <v>14</v>
      </c>
      <c r="B13">
        <v>1114</v>
      </c>
      <c r="C13" s="1" t="s">
        <v>55</v>
      </c>
      <c r="D13" s="1" t="s">
        <v>56</v>
      </c>
      <c r="E13" t="s">
        <v>57</v>
      </c>
      <c r="F13" t="s">
        <v>17</v>
      </c>
      <c r="G13"/>
      <c r="H13"/>
      <c r="I13"/>
      <c r="J13"/>
      <c r="K13"/>
      <c r="L13"/>
      <c r="M13" s="2" t="s">
        <v>27</v>
      </c>
      <c r="N13"/>
      <c r="O13"/>
      <c r="P13"/>
    </row>
    <row r="14" spans="1:17" ht="18" customHeight="1">
      <c r="A14" t="s">
        <v>45</v>
      </c>
      <c r="B14">
        <v>1114</v>
      </c>
      <c r="C14" s="1" t="s">
        <v>55</v>
      </c>
      <c r="D14" s="1" t="s">
        <v>56</v>
      </c>
      <c r="E14" t="s">
        <v>57</v>
      </c>
      <c r="F14" t="s">
        <v>17</v>
      </c>
      <c r="G14"/>
      <c r="H14"/>
      <c r="I14"/>
      <c r="J14"/>
      <c r="K14"/>
      <c r="L14"/>
      <c r="M14" t="s">
        <v>28</v>
      </c>
      <c r="N14"/>
      <c r="O14"/>
      <c r="P14"/>
    </row>
    <row r="15" spans="1:17" ht="18" customHeight="1">
      <c r="A15" t="s">
        <v>47</v>
      </c>
      <c r="B15">
        <v>1114</v>
      </c>
      <c r="C15" s="1" t="s">
        <v>55</v>
      </c>
      <c r="D15" s="1" t="s">
        <v>56</v>
      </c>
      <c r="E15" t="s">
        <v>57</v>
      </c>
      <c r="F15" t="s">
        <v>17</v>
      </c>
      <c r="G15"/>
      <c r="H15"/>
      <c r="I15"/>
      <c r="J15"/>
      <c r="K15"/>
      <c r="L15"/>
      <c r="M15" t="s">
        <v>29</v>
      </c>
      <c r="N15"/>
      <c r="O15"/>
      <c r="P15"/>
    </row>
    <row r="16" spans="1:17" ht="18" customHeight="1">
      <c r="A16" t="s">
        <v>14</v>
      </c>
      <c r="B16">
        <v>1117</v>
      </c>
      <c r="C16" s="1" t="s">
        <v>55</v>
      </c>
      <c r="D16" s="1" t="s">
        <v>59</v>
      </c>
      <c r="E16" t="s">
        <v>59</v>
      </c>
      <c r="F16" t="s">
        <v>17</v>
      </c>
      <c r="G16"/>
      <c r="H16"/>
      <c r="I16"/>
      <c r="J16"/>
      <c r="K16"/>
      <c r="L16"/>
      <c r="M16" t="s">
        <v>30</v>
      </c>
      <c r="N16"/>
      <c r="O16"/>
      <c r="P16"/>
    </row>
    <row r="17" spans="1:16" ht="18" customHeight="1">
      <c r="A17" t="s">
        <v>45</v>
      </c>
      <c r="B17">
        <v>1117</v>
      </c>
      <c r="C17" s="1" t="s">
        <v>55</v>
      </c>
      <c r="D17" s="1" t="s">
        <v>59</v>
      </c>
      <c r="E17" t="s">
        <v>59</v>
      </c>
      <c r="F17" t="s">
        <v>17</v>
      </c>
      <c r="G17"/>
      <c r="H17"/>
      <c r="I17"/>
      <c r="J17"/>
      <c r="K17"/>
      <c r="L17"/>
      <c r="M17"/>
      <c r="N17"/>
      <c r="O17"/>
      <c r="P17"/>
    </row>
    <row r="18" spans="1:16" ht="18" customHeight="1">
      <c r="A18" t="s">
        <v>47</v>
      </c>
      <c r="B18">
        <v>1117</v>
      </c>
      <c r="C18" s="1" t="s">
        <v>55</v>
      </c>
      <c r="D18" s="1" t="s">
        <v>59</v>
      </c>
      <c r="E18" t="s">
        <v>59</v>
      </c>
      <c r="F18" t="s">
        <v>17</v>
      </c>
      <c r="G18"/>
      <c r="H18"/>
      <c r="I18"/>
      <c r="J18"/>
      <c r="K18"/>
      <c r="L18"/>
      <c r="M18"/>
      <c r="N18"/>
      <c r="O18"/>
      <c r="P18"/>
    </row>
    <row r="19" spans="1:16" ht="18" customHeight="1">
      <c r="A19" t="s">
        <v>48</v>
      </c>
      <c r="B19">
        <v>1115</v>
      </c>
      <c r="C19" s="1" t="s">
        <v>55</v>
      </c>
      <c r="D19" s="1" t="s">
        <v>56</v>
      </c>
      <c r="E19" t="s">
        <v>58</v>
      </c>
      <c r="F19" t="s">
        <v>15</v>
      </c>
      <c r="G19"/>
      <c r="H19"/>
      <c r="I19"/>
      <c r="J19"/>
      <c r="K19"/>
      <c r="L19"/>
      <c r="M19" s="2" t="s">
        <v>31</v>
      </c>
      <c r="N19" s="2" t="s">
        <v>32</v>
      </c>
      <c r="O19" s="2" t="s">
        <v>33</v>
      </c>
      <c r="P19"/>
    </row>
    <row r="20" spans="1:16" ht="18" customHeight="1">
      <c r="A20" t="s">
        <v>49</v>
      </c>
      <c r="B20">
        <v>1115</v>
      </c>
      <c r="C20" s="1" t="s">
        <v>55</v>
      </c>
      <c r="D20" s="1" t="s">
        <v>56</v>
      </c>
      <c r="E20" t="s">
        <v>58</v>
      </c>
      <c r="F20" t="s">
        <v>15</v>
      </c>
      <c r="G20"/>
      <c r="H20"/>
      <c r="I20"/>
      <c r="J20"/>
      <c r="K20"/>
      <c r="L20"/>
      <c r="M20" t="s">
        <v>34</v>
      </c>
      <c r="N20" t="s">
        <v>12</v>
      </c>
      <c r="O20" t="s">
        <v>35</v>
      </c>
      <c r="P20"/>
    </row>
    <row r="21" spans="1:16" ht="18" customHeight="1">
      <c r="A21" t="s">
        <v>50</v>
      </c>
      <c r="B21">
        <v>1115</v>
      </c>
      <c r="C21" s="1" t="s">
        <v>55</v>
      </c>
      <c r="D21" s="1" t="s">
        <v>56</v>
      </c>
      <c r="E21" t="s">
        <v>58</v>
      </c>
      <c r="F21" t="s">
        <v>15</v>
      </c>
      <c r="G21"/>
      <c r="H21"/>
      <c r="I21"/>
      <c r="J21"/>
      <c r="K21"/>
      <c r="L21"/>
      <c r="M21" t="s">
        <v>36</v>
      </c>
      <c r="N21" t="s">
        <v>12</v>
      </c>
      <c r="O21" t="s">
        <v>35</v>
      </c>
      <c r="P21"/>
    </row>
    <row r="22" spans="1:16" ht="18" customHeight="1">
      <c r="A22"/>
      <c r="B22"/>
      <c r="C22"/>
      <c r="D22"/>
      <c r="E22"/>
      <c r="F22"/>
      <c r="G22"/>
      <c r="H22"/>
      <c r="I22"/>
      <c r="J22"/>
      <c r="K22"/>
      <c r="L22"/>
      <c r="M22" t="s">
        <v>37</v>
      </c>
      <c r="N22" t="s">
        <v>38</v>
      </c>
      <c r="O22" s="4" t="s">
        <v>39</v>
      </c>
      <c r="P22"/>
    </row>
    <row r="23" spans="1:16" ht="18" customHeight="1">
      <c r="A23"/>
      <c r="B23"/>
      <c r="C23"/>
      <c r="D23"/>
      <c r="E23"/>
      <c r="F23"/>
      <c r="G23"/>
      <c r="H23"/>
      <c r="I23"/>
      <c r="J23"/>
      <c r="K23"/>
      <c r="L23"/>
      <c r="M23" t="s">
        <v>40</v>
      </c>
      <c r="N23" t="s">
        <v>38</v>
      </c>
      <c r="O23" t="s">
        <v>41</v>
      </c>
      <c r="P23"/>
    </row>
    <row r="24" spans="1:16" ht="18" customHeight="1">
      <c r="A24"/>
      <c r="B24"/>
      <c r="C24"/>
      <c r="D24"/>
      <c r="E24"/>
      <c r="F24"/>
      <c r="G24"/>
      <c r="H24"/>
      <c r="I24"/>
      <c r="J24"/>
      <c r="K24"/>
      <c r="L24"/>
      <c r="M24" t="s">
        <v>42</v>
      </c>
      <c r="N24" t="s">
        <v>38</v>
      </c>
      <c r="O24" t="s">
        <v>43</v>
      </c>
      <c r="P24"/>
    </row>
    <row r="25" spans="1:16" ht="18" customHeight="1">
      <c r="A25"/>
      <c r="B25"/>
      <c r="C25"/>
      <c r="D25"/>
      <c r="E25"/>
      <c r="F25"/>
      <c r="G25"/>
      <c r="H25"/>
      <c r="I25"/>
      <c r="J25"/>
      <c r="K25"/>
      <c r="L25"/>
      <c r="M25" t="s">
        <v>44</v>
      </c>
      <c r="N25" t="s">
        <v>38</v>
      </c>
      <c r="O25" t="s">
        <v>43</v>
      </c>
      <c r="P25"/>
    </row>
  </sheetData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eployBtn_Click">
                <anchor moveWithCells="1" sizeWithCells="1">
                  <from>
                    <xdr:col>11</xdr:col>
                    <xdr:colOff>114300</xdr:colOff>
                    <xdr:row>1</xdr:row>
                    <xdr:rowOff>0</xdr:rowOff>
                  </from>
                  <to>
                    <xdr:col>11</xdr:col>
                    <xdr:colOff>939800</xdr:colOff>
                    <xdr:row>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11</xdr:col>
                    <xdr:colOff>152400</xdr:colOff>
                    <xdr:row>2</xdr:row>
                    <xdr:rowOff>215900</xdr:rowOff>
                  </from>
                  <to>
                    <xdr:col>11</xdr:col>
                    <xdr:colOff>977900</xdr:colOff>
                    <xdr:row>4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CablePlan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2015-09-25T22:39:41Z</dcterms:modified>
</cp:coreProperties>
</file>