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7A2D7E96-6E34-419A-AE5F-296B3A7E7977}"/>
  <workbookPr codeName="ThisWorkbook" autoCompressPictures="0"/>
  <bookViews>
    <workbookView xWindow="0" yWindow="0" windowWidth="28800" windowHeight="17460" activeTab="1"/>
  </bookViews>
  <sheets>
    <sheet name="ANPs" sheetId="5" r:id="rId1"/>
    <sheet name="Init" sheetId="4" r:id="rId2"/>
    <sheet name="CablePlan" sheetId="1" r:id="rId3"/>
    <sheet name="ServerPlan" sheetId="3" r:id="rId4"/>
    <sheet name="Log" sheetId="7" r:id="rId5"/>
    <sheet name="VersionControl" sheetId="2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" i="4" l="1"/>
  <c r="J7" i="4"/>
  <c r="K6" i="4"/>
  <c r="J6" i="4"/>
  <c r="H5" i="1"/>
  <c r="H4" i="1"/>
  <c r="H3" i="1"/>
  <c r="J5" i="4"/>
  <c r="I5" i="1" a="1"/>
  <c r="I5" i="1"/>
  <c r="I4" i="1" a="1"/>
  <c r="I4" i="1"/>
  <c r="I3" i="1" a="1"/>
  <c r="I3" i="1"/>
  <c r="K5" i="4"/>
  <c r="J5" i="1"/>
  <c r="J4" i="1"/>
  <c r="J3" i="1"/>
  <c r="K5" i="1"/>
  <c r="K4" i="1"/>
  <c r="K3" i="1"/>
  <c r="L5" i="1"/>
  <c r="L4" i="1"/>
  <c r="L3" i="1"/>
  <c r="G5" i="1" a="1"/>
  <c r="G5" i="1"/>
  <c r="G4" i="1" a="1"/>
  <c r="G4" i="1"/>
  <c r="G3" i="1" a="1"/>
  <c r="G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47-48
</t>
        </r>
      </text>
    </comment>
    <comment ref="P21" authorId="0">
      <text>
        <r>
          <rPr>
            <b/>
            <sz val="9"/>
            <color indexed="81"/>
            <rFont val="Calibri"/>
            <family val="2"/>
          </rPr>
          <t>From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Q21" authorId="0">
      <text>
        <r>
          <rPr>
            <b/>
            <sz val="9"/>
            <color indexed="81"/>
            <rFont val="Calibri"/>
            <family val="2"/>
          </rPr>
          <t>To</t>
        </r>
        <r>
          <rPr>
            <sz val="9"/>
            <color indexed="81"/>
            <rFont val="Calibr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<sst xmlns="http://schemas.openxmlformats.org/spreadsheetml/2006/main" count="271" uniqueCount="154">
  <si>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</si>
  <si>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</si>
  <si>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</si>
  <si>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</si>
  <si>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</si>
  <si>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</si>
  <si>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</si>
  <si>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</si>
  <si>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</si>
  <si>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</si>
  <si>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</si>
  <si>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</si>
  <si>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</si>
  <si>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</si>
  <si>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</si>
  <si>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</si>
  <si>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</si>
  <si>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</si>
  <si>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</si>
  <si>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</si>
  <si>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</si>
  <si>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</si>
  <si>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</si>
  <si>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</si>
  <si>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</si>
  <si>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</si>
  <si>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</si>
  <si>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</si>
  <si>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</si>
  <si>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</si>
  <si>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verification</t>
  </si>
  <si>
    <t>Rack#</t>
  </si>
  <si>
    <t>Switch1</t>
  </si>
  <si>
    <t>Switch2</t>
  </si>
  <si>
    <t>is FEX?</t>
  </si>
  <si>
    <t>FEX father</t>
  </si>
  <si>
    <t>father ports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</si>
  <si>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</si>
  <si>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</si>
  <si>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</si>
  <si>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</si>
  <si>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</si>
  <si>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</si>
  <si>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</si>
  <si>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</si>
  <si>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</si>
  <si>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</si>
  <si>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</si>
  <si>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</si>
  <si>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</si>
  <si>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</si>
  <si>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</si>
  <si>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</si>
  <si>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Add here whatever VRFs/BDs to be created</t>
  </si>
  <si>
    <t>Add here the tenant/ANP/EPG structure</t>
  </si>
  <si>
    <t>47-48</t>
  </si>
  <si>
    <t>Enter the leaves and FEXes that form your fabric, grouped in pairs (rack#)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</si>
  <si>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</si>
  <si>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</si>
  <si>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</si>
  <si>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</si>
  <si>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</si>
  <si>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</si>
  <si>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</si>
  <si>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100M_Neg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</si>
  <si>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</si>
  <si>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</si>
  <si>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</si>
  <si>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</si>
  <si>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</si>
  <si>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</si>
  <si>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</si>
  <si>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</si>
  <si>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</si>
  <si>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</si>
  <si>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</si>
  <si>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Policy groups to be created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</si>
  <si>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</si>
  <si>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</si>
  <si>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</si>
  <si>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</si>
  <si>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</si>
  <si>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</si>
  <si>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Server/EPG matrix</t>
  </si>
  <si>
    <t>0.6</t>
  </si>
  <si>
    <t>Self-signed certificates</t>
  </si>
  <si>
    <t>Web calls consolidated in a single function</t>
  </si>
  <si>
    <t>Option to not show error messages</t>
  </si>
  <si>
    <t>General options</t>
  </si>
  <si>
    <t>Error msgs</t>
  </si>
  <si>
    <t>Lab-Infra</t>
  </si>
  <si>
    <t>1G-noCDP-Infra</t>
  </si>
  <si>
    <t>100M-NoCDP</t>
  </si>
  <si>
    <t>0.7</t>
  </si>
  <si>
    <t>Speed valid field in CablePlan removed</t>
  </si>
  <si>
    <t>common</t>
  </si>
  <si>
    <t>Deploy</t>
  </si>
  <si>
    <t>Process row</t>
  </si>
  <si>
    <t>1G-Neg</t>
  </si>
  <si>
    <t>100M-NoNeg</t>
  </si>
  <si>
    <t>0.8</t>
  </si>
  <si>
    <t>Color coding for "Process Row" field</t>
  </si>
  <si>
    <t>JSON Preview</t>
  </si>
  <si>
    <t>Policies to be created</t>
  </si>
  <si>
    <t>URL</t>
  </si>
  <si>
    <t>POST</t>
  </si>
  <si>
    <t>Timestamp</t>
  </si>
  <si>
    <t>JSON preview (cancel button needs to be added)</t>
  </si>
  <si>
    <t>Log sheet</t>
  </si>
  <si>
    <t>0.9</t>
  </si>
  <si>
    <t>Latest versions of VBA-Web copy and pasted into the VBA classes</t>
  </si>
  <si>
    <t>ServerPlan2 sheet deleted</t>
  </si>
  <si>
    <t>RemoveBindings supports now left-only and right-only options</t>
  </si>
  <si>
    <t>Office 2016 for Mac supported (vbCrLf issue)</t>
  </si>
  <si>
    <t>Change only areas in green</t>
  </si>
  <si>
    <t>(the same name will be used for AEP, static VLAN pool and physical domain)</t>
  </si>
  <si>
    <t>VLAN range</t>
  </si>
  <si>
    <t>vCenter IP</t>
  </si>
  <si>
    <t>vCenter User</t>
  </si>
  <si>
    <t>vCenter DC</t>
  </si>
  <si>
    <t>DVS name</t>
  </si>
  <si>
    <t>DVS version</t>
  </si>
  <si>
    <t>v0.10</t>
  </si>
  <si>
    <t>CDP/LLDP</t>
  </si>
  <si>
    <t>Bonding</t>
  </si>
  <si>
    <t>5.1</t>
  </si>
  <si>
    <t>5.5</t>
  </si>
  <si>
    <t>6.0</t>
  </si>
  <si>
    <t>Physical domain will be added to all EPGs</t>
  </si>
  <si>
    <t>Process</t>
  </si>
  <si>
    <t>Don't process</t>
  </si>
  <si>
    <t>Change only areas in green, select "Process" or "Not process" to run or not a certain area</t>
  </si>
  <si>
    <t>Process row/area in Init tab</t>
  </si>
  <si>
    <t>"Process Row" field introduced in CablePlan/ServerPlan tabs</t>
  </si>
  <si>
    <t>Proccess row</t>
  </si>
  <si>
    <t>Process row in ANP tab</t>
  </si>
  <si>
    <t>192.168.0.30</t>
  </si>
  <si>
    <t>root</t>
  </si>
  <si>
    <t>VMM domain will be added to default AEP</t>
  </si>
  <si>
    <t>MAC pinning</t>
  </si>
  <si>
    <t>Bare metal</t>
  </si>
  <si>
    <t>VM</t>
  </si>
  <si>
    <t>myDC</t>
  </si>
  <si>
    <t>LACP</t>
  </si>
  <si>
    <t>Description</t>
  </si>
  <si>
    <t>Response</t>
  </si>
  <si>
    <t>Return code</t>
  </si>
  <si>
    <t>ACI-DVS</t>
  </si>
  <si>
    <t>server1</t>
  </si>
  <si>
    <t>server2</t>
  </si>
  <si>
    <t>server3</t>
  </si>
  <si>
    <t>Extra log fields in "Log spreadsheet"</t>
  </si>
  <si>
    <t>Dynamic pools and VMM domains (beta)</t>
  </si>
  <si>
    <t>VMM domain (VDS integration):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</si>
</sst>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sz val="11"/>
      <color rgb="FF000000"/>
      <name val="Calibri"/>
      <family val="2"/>
      <scheme val="minor"/>
    </font>
    <font>
      <b/>
      <sz val="9"/>
      <color indexed="8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1" fillId="3" borderId="0" xfId="0" applyFont="1" applyFill="1"/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13" fillId="4" borderId="0" xfId="0" applyFont="1" applyFill="1"/>
    <xf numFmtId="0" fontId="5" fillId="3" borderId="7" xfId="0" applyFon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13" fillId="6" borderId="0" xfId="0" applyFont="1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Fill="1"/>
    <xf numFmtId="0" fontId="0" fillId="5" borderId="0" xfId="0" applyFill="1" applyAlignment="1">
      <alignment horizontal="center" vertical="center" wrapText="1"/>
    </xf>
    <xf numFmtId="0" fontId="0" fillId="5" borderId="0" xfId="0" applyFont="1" applyFill="1"/>
    <xf numFmtId="0" fontId="5" fillId="0" borderId="0" xfId="0" applyFont="1" applyFill="1"/>
    <xf numFmtId="0" fontId="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ont="1"/>
  </cellXfs>
  <cellStyles count="71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Normal" xfId="0" builtinId="0"/>
  </cellStyles>
  <dxfs count="13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114300</xdr:rowOff>
        </xdr:from>
        <xdr:to>
          <xdr:col>14</xdr:col>
          <xdr:colOff>787400</xdr:colOff>
          <xdr:row>4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825500</xdr:colOff>
          <xdr:row>1</xdr:row>
          <xdr:rowOff>12700</xdr:rowOff>
        </xdr:from>
        <xdr:to>
          <xdr:col>11</xdr:col>
          <xdr:colOff>101600</xdr:colOff>
          <xdr:row>1</xdr:row>
          <xdr:rowOff>469900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0</xdr:row>
          <xdr:rowOff>50800</xdr:rowOff>
        </xdr:from>
        <xdr:to>
          <xdr:col>9</xdr:col>
          <xdr:colOff>139700</xdr:colOff>
          <xdr:row>1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R34"/>
  <sheetViews>
    <sheetView workbookViewId="0">
      <selection activeCell="H5" sqref="H5"/>
    </sheetView>
  </sheetViews>
  <sheetFormatPr baseColWidth="10" defaultRowHeight="14" x14ac:dyDescent="0"/>
  <cols>
    <col min="1" max="1" width="13.1640625" customWidth="1"/>
    <col min="12" max="12" width="13.33203125" customWidth="1"/>
  </cols>
  <sheetData>
    <row r="1" spans="1:18" ht="28">
      <c r="A1" s="16" t="s">
        <v>50</v>
      </c>
    </row>
    <row r="2" spans="1:18">
      <c r="A2" t="s">
        <v>114</v>
      </c>
    </row>
    <row r="3" spans="1:18">
      <c r="A3" s="44" t="s">
        <v>22</v>
      </c>
      <c r="B3" s="44" t="s">
        <v>42</v>
      </c>
      <c r="C3" s="44" t="s">
        <v>41</v>
      </c>
      <c r="D3" s="44" t="s">
        <v>49</v>
      </c>
      <c r="E3" s="44" t="s">
        <v>134</v>
      </c>
      <c r="G3" s="44" t="s">
        <v>22</v>
      </c>
      <c r="H3" s="44" t="s">
        <v>39</v>
      </c>
      <c r="I3" s="44" t="s">
        <v>40</v>
      </c>
      <c r="J3" s="44" t="s">
        <v>41</v>
      </c>
      <c r="K3" s="44" t="s">
        <v>140</v>
      </c>
      <c r="L3" s="44" t="s">
        <v>141</v>
      </c>
      <c r="M3" s="44" t="s">
        <v>134</v>
      </c>
      <c r="R3" t="s">
        <v>12</v>
      </c>
    </row>
    <row r="4" spans="1:18">
      <c r="A4" s="4" t="s">
        <v>95</v>
      </c>
      <c r="B4" s="4" t="s">
        <v>20</v>
      </c>
      <c r="C4" s="4" t="s">
        <v>20</v>
      </c>
      <c r="D4" s="4"/>
      <c r="E4" s="37" t="s">
        <v>14</v>
      </c>
      <c r="G4" s="4" t="s">
        <v>95</v>
      </c>
      <c r="H4" s="4" t="s">
        <v>20</v>
      </c>
      <c r="I4" s="4" t="s">
        <v>57</v>
      </c>
      <c r="J4" s="4" t="s">
        <v>57</v>
      </c>
      <c r="K4" s="4" t="s">
        <v>12</v>
      </c>
      <c r="L4" s="4" t="s">
        <v>12</v>
      </c>
      <c r="M4" s="37" t="s">
        <v>14</v>
      </c>
      <c r="R4" t="s">
        <v>14</v>
      </c>
    </row>
    <row r="5" spans="1:18">
      <c r="A5" s="4" t="s">
        <v>95</v>
      </c>
      <c r="B5" s="4" t="s">
        <v>20</v>
      </c>
      <c r="C5" s="4" t="s">
        <v>57</v>
      </c>
      <c r="D5" s="4"/>
      <c r="E5" s="37" t="s">
        <v>14</v>
      </c>
      <c r="G5" s="4"/>
      <c r="H5" s="4"/>
      <c r="I5" s="4"/>
      <c r="J5" s="4"/>
      <c r="K5" s="4"/>
      <c r="L5" s="4"/>
      <c r="M5" s="37"/>
    </row>
    <row r="6" spans="1:18">
      <c r="A6" s="4"/>
      <c r="B6" s="4"/>
      <c r="C6" s="4"/>
      <c r="D6" s="4"/>
      <c r="E6" s="37"/>
      <c r="G6" s="4"/>
      <c r="H6" s="4"/>
      <c r="I6" s="4"/>
      <c r="J6" s="4"/>
      <c r="K6" s="4"/>
      <c r="L6" s="4"/>
      <c r="M6" s="37"/>
    </row>
    <row r="7" spans="1:18">
      <c r="A7" s="4"/>
      <c r="B7" s="4"/>
      <c r="C7" s="4"/>
      <c r="D7" s="4"/>
      <c r="E7" s="37"/>
      <c r="G7" s="4"/>
      <c r="H7" s="4"/>
      <c r="I7" s="4"/>
      <c r="J7" s="4"/>
      <c r="K7" s="4"/>
      <c r="L7" s="4"/>
      <c r="M7" s="37"/>
    </row>
    <row r="8" spans="1:18">
      <c r="A8" s="4"/>
      <c r="B8" s="4"/>
      <c r="C8" s="4"/>
      <c r="D8" s="4"/>
      <c r="E8" s="37"/>
      <c r="G8" s="4"/>
      <c r="H8" s="4"/>
      <c r="I8" s="4"/>
      <c r="J8" s="4"/>
      <c r="K8" s="4"/>
      <c r="L8" s="4"/>
      <c r="M8" s="37"/>
    </row>
    <row r="9" spans="1:18">
      <c r="A9" s="4"/>
      <c r="B9" s="4"/>
      <c r="C9" s="4"/>
      <c r="D9" s="4"/>
      <c r="E9" s="37"/>
      <c r="G9" s="4"/>
      <c r="H9" s="4"/>
      <c r="I9" s="4"/>
      <c r="J9" s="4"/>
      <c r="K9" s="4"/>
      <c r="L9" s="4"/>
      <c r="M9" s="37"/>
    </row>
    <row r="10" spans="1:18">
      <c r="A10" s="4"/>
      <c r="B10" s="4"/>
      <c r="C10" s="4"/>
      <c r="D10" s="4"/>
      <c r="E10" s="37"/>
      <c r="G10" s="4"/>
      <c r="H10" s="4"/>
      <c r="I10" s="4"/>
      <c r="J10" s="4"/>
      <c r="K10" s="4"/>
      <c r="L10" s="4"/>
      <c r="M10" s="37"/>
    </row>
    <row r="11" spans="1:18">
      <c r="A11" s="4"/>
      <c r="B11" s="4"/>
      <c r="C11" s="4"/>
      <c r="D11" s="4"/>
      <c r="E11" s="37"/>
      <c r="G11" s="4"/>
      <c r="H11" s="4"/>
      <c r="I11" s="4"/>
      <c r="J11" s="4"/>
      <c r="K11" s="4"/>
      <c r="L11" s="4"/>
      <c r="M11" s="37"/>
    </row>
    <row r="12" spans="1:18">
      <c r="A12" s="4"/>
      <c r="B12" s="4"/>
      <c r="C12" s="4"/>
      <c r="D12" s="4"/>
      <c r="E12" s="37"/>
      <c r="G12" s="4"/>
      <c r="H12" s="4"/>
      <c r="I12" s="4"/>
      <c r="J12" s="4"/>
      <c r="K12" s="4"/>
      <c r="L12" s="4"/>
      <c r="M12" s="37"/>
    </row>
    <row r="13" spans="1:18">
      <c r="A13" s="4"/>
      <c r="B13" s="4"/>
      <c r="C13" s="4"/>
      <c r="D13" s="4"/>
      <c r="E13" s="37"/>
      <c r="G13" s="4"/>
      <c r="H13" s="4"/>
      <c r="I13" s="4"/>
      <c r="J13" s="4"/>
      <c r="K13" s="4"/>
      <c r="L13" s="4"/>
      <c r="M13" s="37"/>
    </row>
    <row r="14" spans="1:18">
      <c r="A14" s="4"/>
      <c r="B14" s="4"/>
      <c r="C14" s="4"/>
      <c r="D14" s="4"/>
      <c r="E14" s="37"/>
      <c r="G14" s="4"/>
      <c r="H14" s="4"/>
      <c r="I14" s="4"/>
      <c r="J14" s="4"/>
      <c r="K14" s="4"/>
      <c r="L14" s="4"/>
      <c r="M14" s="37"/>
    </row>
    <row r="15" spans="1:18">
      <c r="A15" s="4"/>
      <c r="B15" s="4"/>
      <c r="C15" s="4"/>
      <c r="D15" s="4"/>
      <c r="E15" s="37"/>
      <c r="G15" s="4"/>
      <c r="H15" s="4"/>
      <c r="I15" s="4"/>
      <c r="J15" s="4"/>
      <c r="K15" s="4"/>
      <c r="L15" s="4"/>
      <c r="M15" s="37"/>
    </row>
    <row r="16" spans="1:18">
      <c r="A16" s="4"/>
      <c r="B16" s="4"/>
      <c r="C16" s="4"/>
      <c r="D16" s="4"/>
      <c r="E16" s="37"/>
      <c r="G16" s="4"/>
      <c r="H16" s="4"/>
      <c r="I16" s="4"/>
      <c r="J16" s="4"/>
      <c r="K16" s="4"/>
      <c r="L16" s="4"/>
      <c r="M16" s="37"/>
    </row>
    <row r="17" spans="1:7">
      <c r="A17" t="s">
        <v>53</v>
      </c>
      <c r="G17" t="s">
        <v>54</v>
      </c>
    </row>
    <row r="27" spans="1:7">
      <c r="A27" s="17" t="s">
        <v>88</v>
      </c>
    </row>
    <row r="28" spans="1:7">
      <c r="A28" t="s">
        <v>89</v>
      </c>
      <c r="B28" t="s">
        <v>12</v>
      </c>
    </row>
    <row r="29" spans="1:7">
      <c r="A29" t="s">
        <v>102</v>
      </c>
      <c r="B29" t="s">
        <v>14</v>
      </c>
    </row>
    <row r="34" spans="1:1">
      <c r="A34" s="17"/>
    </row>
  </sheetData>
  <conditionalFormatting sqref="A4:D16">
    <cfRule type="expression" dxfId="129" priority="4">
      <formula>($E4="Yes")</formula>
    </cfRule>
  </conditionalFormatting>
  <conditionalFormatting sqref="G5:L8 G10:L16">
    <cfRule type="expression" dxfId="128" priority="3">
      <formula>($M5="Yes")</formula>
    </cfRule>
  </conditionalFormatting>
  <conditionalFormatting sqref="G9:L9">
    <cfRule type="expression" dxfId="127" priority="2">
      <formula>($M9="Yes")</formula>
    </cfRule>
  </conditionalFormatting>
  <conditionalFormatting sqref="G4:L4">
    <cfRule type="expression" dxfId="1" priority="1">
      <formula>($M4="Yes")</formula>
    </cfRule>
  </conditionalFormatting>
  <dataValidations count="2">
    <dataValidation type="list" allowBlank="1" showInputMessage="1" showErrorMessage="1" sqref="J4:J16">
      <formula1>$C$4:$C$16</formula1>
    </dataValidation>
    <dataValidation type="list" allowBlank="1" showInputMessage="1" showErrorMessage="1" sqref="K4:M16 E4:E16">
      <formula1>$R$3:$R$4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13</xdr:col>
                    <xdr:colOff>482600</xdr:colOff>
                    <xdr:row>1</xdr:row>
                    <xdr:rowOff>114300</xdr:rowOff>
                  </from>
                  <to>
                    <xdr:col>14</xdr:col>
                    <xdr:colOff>787400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U37"/>
  <sheetViews>
    <sheetView tabSelected="1" workbookViewId="0">
      <selection activeCell="N24" sqref="N24"/>
    </sheetView>
  </sheetViews>
  <sheetFormatPr baseColWidth="10" defaultRowHeight="14" x14ac:dyDescent="0"/>
  <cols>
    <col min="1" max="1" width="10.5" customWidth="1"/>
    <col min="10" max="10" width="12" customWidth="1"/>
    <col min="12" max="12" width="9.6640625" customWidth="1"/>
    <col min="14" max="14" width="8.1640625" customWidth="1"/>
    <col min="16" max="16" width="15.6640625" customWidth="1"/>
    <col min="17" max="17" width="16.5" customWidth="1"/>
  </cols>
  <sheetData>
    <row r="1" spans="1:21" ht="9" customHeight="1"/>
    <row r="2" spans="1:21" ht="39" customHeight="1">
      <c r="A2" s="16" t="s">
        <v>51</v>
      </c>
      <c r="M2" s="49" t="s">
        <v>38</v>
      </c>
      <c r="N2" s="49"/>
      <c r="O2" s="49"/>
      <c r="P2" s="50"/>
    </row>
    <row r="3" spans="1:21">
      <c r="A3" t="s">
        <v>131</v>
      </c>
      <c r="U3" t="s">
        <v>129</v>
      </c>
    </row>
    <row r="4" spans="1:21">
      <c r="A4" s="44" t="s">
        <v>31</v>
      </c>
      <c r="B4" s="44" t="s">
        <v>32</v>
      </c>
      <c r="C4" s="44" t="s">
        <v>34</v>
      </c>
      <c r="D4" s="44" t="s">
        <v>35</v>
      </c>
      <c r="E4" s="44" t="s">
        <v>36</v>
      </c>
      <c r="F4" s="44" t="s">
        <v>33</v>
      </c>
      <c r="G4" s="44" t="s">
        <v>37</v>
      </c>
      <c r="H4" s="44" t="s">
        <v>35</v>
      </c>
      <c r="I4" s="44" t="s">
        <v>36</v>
      </c>
      <c r="J4" s="44" t="s">
        <v>77</v>
      </c>
      <c r="K4" s="44" t="s">
        <v>28</v>
      </c>
      <c r="L4" s="44" t="s">
        <v>97</v>
      </c>
      <c r="N4" t="s">
        <v>12</v>
      </c>
      <c r="U4" t="s">
        <v>130</v>
      </c>
    </row>
    <row r="5" spans="1:21">
      <c r="A5" s="23">
        <v>1</v>
      </c>
      <c r="B5" s="23">
        <v>201</v>
      </c>
      <c r="C5" s="23" t="s">
        <v>14</v>
      </c>
      <c r="D5" s="4"/>
      <c r="E5" s="4"/>
      <c r="F5" s="23">
        <v>202</v>
      </c>
      <c r="G5" s="23" t="s">
        <v>14</v>
      </c>
      <c r="H5" s="4"/>
      <c r="I5" s="4"/>
      <c r="J5" s="23" t="str">
        <f>B5&amp;"-"&amp;F5</f>
        <v>201-202</v>
      </c>
      <c r="K5" s="23" t="str">
        <f>IF(C5="No","N/A",D5&amp;"-"&amp;H5)</f>
        <v>N/A</v>
      </c>
      <c r="L5" s="43" t="s">
        <v>14</v>
      </c>
      <c r="N5" t="s">
        <v>14</v>
      </c>
    </row>
    <row r="6" spans="1:21">
      <c r="A6" s="23">
        <v>2</v>
      </c>
      <c r="B6" s="23">
        <v>101</v>
      </c>
      <c r="C6" s="23" t="s">
        <v>12</v>
      </c>
      <c r="D6" s="4">
        <v>201</v>
      </c>
      <c r="E6" s="4" t="s">
        <v>55</v>
      </c>
      <c r="F6" s="23">
        <v>102</v>
      </c>
      <c r="G6" s="23" t="s">
        <v>12</v>
      </c>
      <c r="H6" s="4">
        <v>202</v>
      </c>
      <c r="I6" s="4" t="s">
        <v>55</v>
      </c>
      <c r="J6" s="23" t="str">
        <f>B6&amp;"-"&amp;F6</f>
        <v>101-102</v>
      </c>
      <c r="K6" s="23" t="str">
        <f>IF(C6="No","N/A",D6&amp;"-"&amp;H6)</f>
        <v>201-202</v>
      </c>
      <c r="L6" s="43" t="s">
        <v>14</v>
      </c>
    </row>
    <row r="7" spans="1:21">
      <c r="A7" s="23">
        <v>3</v>
      </c>
      <c r="B7" s="23">
        <v>203</v>
      </c>
      <c r="C7" s="23" t="s">
        <v>14</v>
      </c>
      <c r="D7" s="4"/>
      <c r="E7" s="4"/>
      <c r="F7" s="23">
        <v>204</v>
      </c>
      <c r="G7" s="23" t="s">
        <v>14</v>
      </c>
      <c r="H7" s="4"/>
      <c r="I7" s="4"/>
      <c r="J7" s="23" t="str">
        <f>B7&amp;"-"&amp;F7</f>
        <v>203-204</v>
      </c>
      <c r="K7" s="23" t="str">
        <f>IF(C7="No","N/A",D7&amp;"-"&amp;H7)</f>
        <v>N/A</v>
      </c>
      <c r="L7" s="43" t="s">
        <v>14</v>
      </c>
    </row>
    <row r="8" spans="1:21">
      <c r="A8" s="23"/>
      <c r="B8" s="23"/>
      <c r="C8" s="23"/>
      <c r="D8" s="4"/>
      <c r="E8" s="4"/>
      <c r="F8" s="23"/>
      <c r="G8" s="23"/>
      <c r="H8" s="4"/>
      <c r="I8" s="4"/>
      <c r="J8" s="20"/>
      <c r="K8" s="20"/>
      <c r="L8" s="43"/>
      <c r="M8" s="40"/>
      <c r="N8" s="40"/>
    </row>
    <row r="9" spans="1:21">
      <c r="A9" s="23"/>
      <c r="B9" s="23"/>
      <c r="C9" s="23"/>
      <c r="D9" s="4"/>
      <c r="E9" s="4"/>
      <c r="F9" s="23"/>
      <c r="G9" s="23"/>
      <c r="H9" s="4"/>
      <c r="I9" s="4"/>
      <c r="J9" s="20"/>
      <c r="K9" s="20"/>
      <c r="L9" s="43"/>
      <c r="M9" s="40"/>
      <c r="N9" s="40"/>
    </row>
    <row r="10" spans="1:21">
      <c r="A10" s="23"/>
      <c r="B10" s="23"/>
      <c r="C10" s="23"/>
      <c r="D10" s="4"/>
      <c r="E10" s="4"/>
      <c r="F10" s="23"/>
      <c r="G10" s="23"/>
      <c r="H10" s="4"/>
      <c r="I10" s="4"/>
      <c r="J10" s="20"/>
      <c r="K10" s="20"/>
      <c r="L10" s="43"/>
      <c r="M10" s="40"/>
      <c r="N10" s="40"/>
    </row>
    <row r="11" spans="1:21">
      <c r="A11" s="23"/>
      <c r="B11" s="23"/>
      <c r="C11" s="23"/>
      <c r="D11" s="4"/>
      <c r="E11" s="4"/>
      <c r="F11" s="23"/>
      <c r="G11" s="23"/>
      <c r="H11" s="4"/>
      <c r="I11" s="4"/>
      <c r="J11" s="20"/>
      <c r="K11" s="20"/>
      <c r="L11" s="43"/>
    </row>
    <row r="12" spans="1:21">
      <c r="A12" s="23"/>
      <c r="B12" s="23"/>
      <c r="C12" s="23"/>
      <c r="D12" s="4"/>
      <c r="E12" s="4"/>
      <c r="F12" s="23"/>
      <c r="G12" s="23"/>
      <c r="H12" s="4"/>
      <c r="I12" s="4"/>
      <c r="J12" s="20"/>
      <c r="K12" s="20"/>
      <c r="L12" s="43"/>
    </row>
    <row r="13" spans="1:21">
      <c r="A13" s="23"/>
      <c r="B13" s="23"/>
      <c r="C13" s="23"/>
      <c r="D13" s="4"/>
      <c r="E13" s="4"/>
      <c r="F13" s="23"/>
      <c r="G13" s="23"/>
      <c r="H13" s="4"/>
      <c r="I13" s="4"/>
      <c r="J13" s="20"/>
      <c r="K13" s="20"/>
      <c r="L13" s="43"/>
    </row>
    <row r="14" spans="1:21">
      <c r="A14" s="23"/>
      <c r="B14" s="23"/>
      <c r="C14" s="23"/>
      <c r="D14" s="4"/>
      <c r="E14" s="4"/>
      <c r="F14" s="23"/>
      <c r="G14" s="23"/>
      <c r="H14" s="4"/>
      <c r="I14" s="4"/>
      <c r="J14" s="20"/>
      <c r="K14" s="20"/>
      <c r="L14" s="43"/>
    </row>
    <row r="15" spans="1:21">
      <c r="B15" t="s">
        <v>56</v>
      </c>
    </row>
    <row r="19" spans="1:20">
      <c r="A19" s="24" t="s">
        <v>103</v>
      </c>
      <c r="B19" s="10"/>
      <c r="C19" s="10"/>
      <c r="D19" s="10"/>
      <c r="E19" s="24" t="s">
        <v>76</v>
      </c>
      <c r="F19" s="10"/>
      <c r="G19" s="10"/>
      <c r="H19" s="10"/>
      <c r="I19" s="10"/>
      <c r="J19" s="10"/>
      <c r="K19" s="24" t="s">
        <v>73</v>
      </c>
      <c r="L19" s="48" t="s">
        <v>115</v>
      </c>
      <c r="M19" s="49"/>
      <c r="N19" s="10"/>
      <c r="O19" s="19" t="s">
        <v>153</v>
      </c>
      <c r="P19" s="10"/>
      <c r="Q19" s="10"/>
    </row>
    <row r="20" spans="1:20" ht="32" customHeight="1">
      <c r="A20" s="42" t="s">
        <v>130</v>
      </c>
      <c r="B20" s="10"/>
      <c r="C20" s="10"/>
      <c r="D20" s="10"/>
      <c r="E20" s="42" t="s">
        <v>130</v>
      </c>
      <c r="F20" s="10"/>
      <c r="G20" s="10"/>
      <c r="H20" s="10"/>
      <c r="I20" s="10"/>
      <c r="J20" s="10"/>
      <c r="K20" s="42" t="s">
        <v>130</v>
      </c>
      <c r="L20" s="49"/>
      <c r="M20" s="49"/>
      <c r="N20" s="10"/>
      <c r="O20" s="42" t="s">
        <v>130</v>
      </c>
      <c r="P20" s="10"/>
      <c r="Q20" s="10"/>
    </row>
    <row r="21" spans="1:20">
      <c r="A21" s="19" t="s">
        <v>10</v>
      </c>
      <c r="B21" s="19" t="s">
        <v>11</v>
      </c>
      <c r="C21" s="19" t="s">
        <v>63</v>
      </c>
      <c r="D21" s="10"/>
      <c r="E21" s="19"/>
      <c r="F21" s="19" t="s">
        <v>10</v>
      </c>
      <c r="G21" s="19" t="s">
        <v>11</v>
      </c>
      <c r="H21" s="19" t="s">
        <v>63</v>
      </c>
      <c r="I21" s="19" t="s">
        <v>75</v>
      </c>
      <c r="J21" s="10"/>
      <c r="K21" s="19" t="s">
        <v>74</v>
      </c>
      <c r="L21" s="47" t="s">
        <v>67</v>
      </c>
      <c r="M21" s="47" t="s">
        <v>68</v>
      </c>
      <c r="N21" s="10"/>
      <c r="O21" s="20" t="s">
        <v>116</v>
      </c>
      <c r="P21" s="45">
        <v>3121</v>
      </c>
      <c r="Q21" s="45">
        <v>3129</v>
      </c>
    </row>
    <row r="22" spans="1:20">
      <c r="A22" s="10" t="s">
        <v>18</v>
      </c>
      <c r="B22" s="10" t="s">
        <v>19</v>
      </c>
      <c r="C22" s="10" t="s">
        <v>15</v>
      </c>
      <c r="D22" s="10"/>
      <c r="E22" s="19" t="s">
        <v>13</v>
      </c>
      <c r="F22" s="20" t="s">
        <v>18</v>
      </c>
      <c r="G22" s="20" t="s">
        <v>19</v>
      </c>
      <c r="H22" s="20" t="s">
        <v>98</v>
      </c>
      <c r="I22" s="20" t="s">
        <v>20</v>
      </c>
      <c r="J22" s="20"/>
      <c r="K22" s="20" t="s">
        <v>20</v>
      </c>
      <c r="L22" s="45">
        <v>1001</v>
      </c>
      <c r="M22" s="45">
        <v>1099</v>
      </c>
      <c r="N22" s="10"/>
      <c r="O22" s="20" t="s">
        <v>117</v>
      </c>
      <c r="P22" s="45" t="s">
        <v>136</v>
      </c>
      <c r="Q22" s="10"/>
    </row>
    <row r="23" spans="1:20">
      <c r="A23" s="20" t="s">
        <v>61</v>
      </c>
      <c r="B23" s="10" t="s">
        <v>62</v>
      </c>
      <c r="C23" s="10" t="s">
        <v>66</v>
      </c>
      <c r="D23" s="10"/>
      <c r="E23" s="19" t="s">
        <v>65</v>
      </c>
      <c r="F23" s="20" t="s">
        <v>18</v>
      </c>
      <c r="G23" s="20" t="s">
        <v>19</v>
      </c>
      <c r="H23" s="20" t="s">
        <v>65</v>
      </c>
      <c r="I23" s="20" t="s">
        <v>20</v>
      </c>
      <c r="J23" s="20"/>
      <c r="K23" s="20"/>
      <c r="L23" s="45"/>
      <c r="M23" s="45"/>
      <c r="N23" s="10"/>
      <c r="O23" s="20" t="s">
        <v>118</v>
      </c>
      <c r="P23" s="45" t="s">
        <v>137</v>
      </c>
      <c r="Q23" s="10"/>
    </row>
    <row r="24" spans="1:20">
      <c r="A24" s="10"/>
      <c r="B24" s="10"/>
      <c r="C24" s="10" t="s">
        <v>98</v>
      </c>
      <c r="D24" s="10"/>
      <c r="E24" s="19" t="s">
        <v>15</v>
      </c>
      <c r="F24" s="20" t="s">
        <v>18</v>
      </c>
      <c r="G24" s="20" t="s">
        <v>19</v>
      </c>
      <c r="H24" s="20" t="s">
        <v>15</v>
      </c>
      <c r="I24" s="20" t="s">
        <v>20</v>
      </c>
      <c r="J24" s="20"/>
      <c r="K24" s="20"/>
      <c r="L24" s="45"/>
      <c r="M24" s="45"/>
      <c r="N24" s="10"/>
      <c r="O24" s="20" t="s">
        <v>119</v>
      </c>
      <c r="P24" s="45" t="s">
        <v>142</v>
      </c>
      <c r="Q24" s="10"/>
    </row>
    <row r="25" spans="1:20">
      <c r="A25" s="10"/>
      <c r="B25" s="10"/>
      <c r="C25" s="10" t="s">
        <v>65</v>
      </c>
      <c r="D25" s="10"/>
      <c r="E25" s="19" t="s">
        <v>66</v>
      </c>
      <c r="F25" s="20" t="s">
        <v>18</v>
      </c>
      <c r="G25" s="20" t="s">
        <v>19</v>
      </c>
      <c r="H25" s="20" t="s">
        <v>66</v>
      </c>
      <c r="I25" s="20" t="s">
        <v>20</v>
      </c>
      <c r="J25" s="20"/>
      <c r="K25" s="20"/>
      <c r="L25" s="45"/>
      <c r="M25" s="45"/>
      <c r="N25" s="10"/>
      <c r="O25" s="20" t="s">
        <v>120</v>
      </c>
      <c r="P25" s="45" t="s">
        <v>147</v>
      </c>
      <c r="Q25" s="10"/>
    </row>
    <row r="26" spans="1:20">
      <c r="A26" s="10"/>
      <c r="B26" s="10"/>
      <c r="C26" s="10" t="s">
        <v>64</v>
      </c>
      <c r="D26" s="10"/>
      <c r="E26" s="19" t="s">
        <v>91</v>
      </c>
      <c r="F26" s="20" t="s">
        <v>61</v>
      </c>
      <c r="G26" s="20" t="s">
        <v>19</v>
      </c>
      <c r="H26" s="20" t="s">
        <v>98</v>
      </c>
      <c r="I26" s="20" t="s">
        <v>20</v>
      </c>
      <c r="J26" s="20"/>
      <c r="K26" s="20"/>
      <c r="L26" s="45"/>
      <c r="M26" s="45"/>
      <c r="N26" s="10"/>
      <c r="O26" s="20" t="s">
        <v>121</v>
      </c>
      <c r="P26" s="45" t="s">
        <v>126</v>
      </c>
      <c r="Q26" s="10"/>
    </row>
    <row r="27" spans="1:20">
      <c r="A27" s="10"/>
      <c r="B27" s="10"/>
      <c r="C27" s="10" t="s">
        <v>99</v>
      </c>
      <c r="D27" s="10"/>
      <c r="E27" s="19" t="s">
        <v>92</v>
      </c>
      <c r="F27" s="20" t="s">
        <v>61</v>
      </c>
      <c r="G27" s="20" t="s">
        <v>62</v>
      </c>
      <c r="H27" s="20" t="s">
        <v>99</v>
      </c>
      <c r="I27" s="20" t="s">
        <v>90</v>
      </c>
      <c r="J27" s="20"/>
      <c r="K27" s="20"/>
      <c r="L27" s="45"/>
      <c r="M27" s="45"/>
      <c r="N27" s="10"/>
      <c r="O27" s="20" t="s">
        <v>123</v>
      </c>
      <c r="P27" s="45" t="s">
        <v>11</v>
      </c>
      <c r="Q27" s="10"/>
    </row>
    <row r="28" spans="1:20">
      <c r="A28" s="10"/>
      <c r="B28" s="10"/>
      <c r="C28" s="10"/>
      <c r="D28" s="10"/>
      <c r="E28" s="19" t="s">
        <v>91</v>
      </c>
      <c r="F28" s="20" t="s">
        <v>61</v>
      </c>
      <c r="G28" s="20" t="s">
        <v>19</v>
      </c>
      <c r="H28" s="20" t="s">
        <v>65</v>
      </c>
      <c r="I28" s="20" t="s">
        <v>90</v>
      </c>
      <c r="J28" s="20"/>
      <c r="K28" s="20"/>
      <c r="L28" s="45"/>
      <c r="M28" s="45"/>
      <c r="N28" s="10"/>
      <c r="O28" s="10" t="s">
        <v>124</v>
      </c>
      <c r="P28" s="46" t="s">
        <v>139</v>
      </c>
      <c r="Q28" s="10"/>
    </row>
    <row r="29" spans="1:20">
      <c r="A29" s="10"/>
      <c r="B29" s="10"/>
      <c r="C29" s="10"/>
      <c r="D29" s="10"/>
      <c r="E29" s="19"/>
      <c r="F29" s="20"/>
      <c r="G29" s="20"/>
      <c r="H29" s="20"/>
      <c r="I29" s="20"/>
      <c r="J29" s="20"/>
      <c r="K29" s="20"/>
      <c r="L29" s="45"/>
      <c r="M29" s="45"/>
      <c r="N29" s="10"/>
      <c r="O29" s="10"/>
      <c r="P29" s="10"/>
      <c r="Q29" s="10"/>
      <c r="R29" t="s">
        <v>139</v>
      </c>
      <c r="S29" s="41" t="s">
        <v>10</v>
      </c>
      <c r="T29" t="s">
        <v>125</v>
      </c>
    </row>
    <row r="30" spans="1:20">
      <c r="A30" s="10"/>
      <c r="B30" s="10"/>
      <c r="C30" s="10"/>
      <c r="D30" s="10"/>
      <c r="E30" s="19"/>
      <c r="F30" s="20"/>
      <c r="G30" s="20"/>
      <c r="H30" s="20"/>
      <c r="I30" s="20"/>
      <c r="J30" s="20"/>
      <c r="K30" s="20"/>
      <c r="L30" s="45"/>
      <c r="M30" s="45"/>
      <c r="N30" s="10"/>
      <c r="O30" s="10"/>
      <c r="P30" s="10"/>
      <c r="Q30" s="10"/>
      <c r="R30" t="s">
        <v>143</v>
      </c>
      <c r="S30" s="41" t="s">
        <v>11</v>
      </c>
      <c r="T30" t="s">
        <v>126</v>
      </c>
    </row>
    <row r="31" spans="1:20">
      <c r="A31" s="10"/>
      <c r="B31" s="10"/>
      <c r="C31" s="10"/>
      <c r="D31" s="10"/>
      <c r="E31" s="19"/>
      <c r="F31" s="20"/>
      <c r="G31" s="20"/>
      <c r="H31" s="20"/>
      <c r="I31" s="20"/>
      <c r="J31" s="20"/>
      <c r="K31" s="20"/>
      <c r="L31" s="45"/>
      <c r="M31" s="45"/>
      <c r="N31" s="10"/>
      <c r="O31" s="10"/>
      <c r="P31" s="10"/>
      <c r="Q31" s="10"/>
      <c r="T31" t="s">
        <v>127</v>
      </c>
    </row>
    <row r="32" spans="1:20">
      <c r="A32" s="10"/>
      <c r="B32" s="10"/>
      <c r="C32" s="10"/>
      <c r="D32" s="10"/>
      <c r="E32" s="19"/>
      <c r="F32" s="20"/>
      <c r="G32" s="20"/>
      <c r="H32" s="20"/>
      <c r="I32" s="20"/>
      <c r="J32" s="20"/>
      <c r="K32" s="20"/>
      <c r="L32" s="45"/>
      <c r="M32" s="45"/>
      <c r="N32" s="10"/>
      <c r="O32" s="10"/>
      <c r="P32" s="10"/>
      <c r="Q32" s="10"/>
    </row>
    <row r="33" spans="1:17">
      <c r="A33" s="10"/>
      <c r="B33" s="10"/>
      <c r="C33" s="10"/>
      <c r="D33" s="10"/>
      <c r="E33" s="19"/>
      <c r="F33" s="20"/>
      <c r="G33" s="20"/>
      <c r="H33" s="20"/>
      <c r="I33" s="20"/>
      <c r="J33" s="20"/>
      <c r="K33" s="20"/>
      <c r="L33" s="45"/>
      <c r="M33" s="45"/>
      <c r="N33" s="10"/>
      <c r="O33" s="10"/>
      <c r="P33" s="10"/>
      <c r="Q33" s="10"/>
    </row>
    <row r="34" spans="1:17">
      <c r="A34" s="10"/>
      <c r="B34" s="10"/>
      <c r="C34" s="10"/>
      <c r="D34" s="10"/>
      <c r="E34" s="19"/>
      <c r="F34" s="20"/>
      <c r="G34" s="20"/>
      <c r="H34" s="20"/>
      <c r="I34" s="20"/>
      <c r="J34" s="20"/>
      <c r="K34" s="20"/>
      <c r="L34" s="45"/>
      <c r="M34" s="45"/>
      <c r="N34" s="10"/>
      <c r="O34" s="10"/>
      <c r="P34" s="10"/>
      <c r="Q34" s="10"/>
    </row>
    <row r="35" spans="1:17">
      <c r="A35" s="10"/>
      <c r="B35" s="10"/>
      <c r="C35" s="10"/>
      <c r="D35" s="10"/>
      <c r="E35" s="19"/>
      <c r="F35" s="20"/>
      <c r="G35" s="20"/>
      <c r="H35" s="20"/>
      <c r="I35" s="20"/>
      <c r="J35" s="20"/>
      <c r="K35" s="20"/>
      <c r="L35" s="45"/>
      <c r="M35" s="45"/>
      <c r="N35" s="10"/>
      <c r="O35" s="10"/>
      <c r="P35" s="10"/>
      <c r="Q35" s="10"/>
    </row>
    <row r="37" spans="1:17">
      <c r="K37" t="s">
        <v>128</v>
      </c>
      <c r="O37" t="s">
        <v>138</v>
      </c>
    </row>
  </sheetData>
  <mergeCells count="2">
    <mergeCell ref="L19:M20"/>
    <mergeCell ref="M2:P2"/>
  </mergeCells>
  <conditionalFormatting sqref="H6:I6 H8:I14 I5">
    <cfRule type="expression" dxfId="126" priority="48">
      <formula>($G5="No")</formula>
    </cfRule>
  </conditionalFormatting>
  <conditionalFormatting sqref="I5">
    <cfRule type="expression" dxfId="125" priority="47">
      <formula>($G$5="No")</formula>
    </cfRule>
  </conditionalFormatting>
  <conditionalFormatting sqref="H7:I7">
    <cfRule type="expression" dxfId="124" priority="42">
      <formula>($G7="No")</formula>
    </cfRule>
  </conditionalFormatting>
  <conditionalFormatting sqref="I7">
    <cfRule type="expression" dxfId="123" priority="41">
      <formula>($G$5="No")</formula>
    </cfRule>
  </conditionalFormatting>
  <conditionalFormatting sqref="D7:E7">
    <cfRule type="expression" dxfId="122" priority="40">
      <formula>($G7="No")</formula>
    </cfRule>
  </conditionalFormatting>
  <conditionalFormatting sqref="A21:D35">
    <cfRule type="expression" dxfId="121" priority="38">
      <formula>($A$20="Process")</formula>
    </cfRule>
    <cfRule type="expression" dxfId="120" priority="39">
      <formula>($A$20="Don't process")</formula>
    </cfRule>
  </conditionalFormatting>
  <conditionalFormatting sqref="E21:I35">
    <cfRule type="expression" dxfId="119" priority="36">
      <formula>($E$20="Process")</formula>
    </cfRule>
    <cfRule type="expression" dxfId="118" priority="37">
      <formula>($E$20="Don't process")</formula>
    </cfRule>
  </conditionalFormatting>
  <conditionalFormatting sqref="K21:M35">
    <cfRule type="expression" dxfId="117" priority="34">
      <formula>($K$20="Process")</formula>
    </cfRule>
    <cfRule type="expression" dxfId="116" priority="35">
      <formula>($K$20="Don't process")</formula>
    </cfRule>
  </conditionalFormatting>
  <conditionalFormatting sqref="Q21 O21:P27">
    <cfRule type="expression" dxfId="115" priority="32">
      <formula>($O$20="Process")</formula>
    </cfRule>
    <cfRule type="expression" dxfId="114" priority="33">
      <formula>($O$20="Don't process")</formula>
    </cfRule>
  </conditionalFormatting>
  <conditionalFormatting sqref="A5:C5">
    <cfRule type="expression" dxfId="113" priority="30">
      <formula>($L5="Yes")</formula>
    </cfRule>
    <cfRule type="expression" dxfId="112" priority="31">
      <formula>($L5="No")</formula>
    </cfRule>
  </conditionalFormatting>
  <conditionalFormatting sqref="A6:A14">
    <cfRule type="expression" dxfId="111" priority="28">
      <formula>($L6="Yes")</formula>
    </cfRule>
    <cfRule type="expression" dxfId="110" priority="29">
      <formula>($L6="No")</formula>
    </cfRule>
  </conditionalFormatting>
  <conditionalFormatting sqref="B6:C14">
    <cfRule type="expression" dxfId="109" priority="26">
      <formula>($L6="Yes")</formula>
    </cfRule>
    <cfRule type="expression" dxfId="108" priority="27">
      <formula>($L6="No")</formula>
    </cfRule>
  </conditionalFormatting>
  <conditionalFormatting sqref="F5:G14">
    <cfRule type="expression" dxfId="107" priority="24">
      <formula>($L5="Yes")</formula>
    </cfRule>
    <cfRule type="expression" dxfId="106" priority="25">
      <formula>($L5="No")</formula>
    </cfRule>
  </conditionalFormatting>
  <conditionalFormatting sqref="D5:E14">
    <cfRule type="expression" dxfId="105" priority="21">
      <formula>AND(($C5="Yes"),($L5="No"))</formula>
    </cfRule>
    <cfRule type="expression" dxfId="104" priority="22">
      <formula>AND(($C5="Yes"),($L5="Yes"))</formula>
    </cfRule>
    <cfRule type="expression" dxfId="103" priority="23">
      <formula>AND(($C5="No"),($L5="Yes"))</formula>
    </cfRule>
    <cfRule type="expression" dxfId="102" priority="46">
      <formula>AND(($C5="No"),($L5="No"))</formula>
    </cfRule>
  </conditionalFormatting>
  <conditionalFormatting sqref="D6">
    <cfRule type="expression" dxfId="101" priority="17">
      <formula>AND(($E6="Yes"),($L6="No"))</formula>
    </cfRule>
    <cfRule type="expression" dxfId="100" priority="18">
      <formula>AND(($E6="Yes"),($L6="Yes"))</formula>
    </cfRule>
    <cfRule type="expression" dxfId="99" priority="19">
      <formula>AND(($E6="No"),($L6="Yes"))</formula>
    </cfRule>
    <cfRule type="expression" dxfId="98" priority="20">
      <formula>AND(($E6="No"),($L6="No"))</formula>
    </cfRule>
  </conditionalFormatting>
  <conditionalFormatting sqref="J5:K14">
    <cfRule type="expression" dxfId="97" priority="15">
      <formula>($L5="Yes")</formula>
    </cfRule>
    <cfRule type="expression" dxfId="96" priority="16">
      <formula>($L5="No")</formula>
    </cfRule>
  </conditionalFormatting>
  <conditionalFormatting sqref="H8">
    <cfRule type="expression" dxfId="95" priority="5">
      <formula>AND(($E8="Yes"),($L8="No"))</formula>
    </cfRule>
  </conditionalFormatting>
  <conditionalFormatting sqref="H5:I14">
    <cfRule type="expression" dxfId="94" priority="1">
      <formula>AND(($G5="Yes"),($L5="No"))</formula>
    </cfRule>
    <cfRule type="expression" dxfId="93" priority="2">
      <formula>AND(($G5="Yes"),($L5="Yes"))</formula>
    </cfRule>
    <cfRule type="expression" dxfId="92" priority="3">
      <formula>AND(($G5="No"),($L5="Yes"))</formula>
    </cfRule>
    <cfRule type="expression" dxfId="91" priority="4">
      <formula>AND(($G5="No"),($L5="No"))</formula>
    </cfRule>
  </conditionalFormatting>
  <dataValidations count="9">
    <dataValidation type="list" allowBlank="1" showInputMessage="1" showErrorMessage="1" sqref="G5:G14 C5:C14 L5:L14">
      <formula1>$N$4:$N$5</formula1>
    </dataValidation>
    <dataValidation type="list" allowBlank="1" showInputMessage="1" showErrorMessage="1" sqref="F22:F28">
      <formula1>$A$22:$A$23</formula1>
    </dataValidation>
    <dataValidation type="list" allowBlank="1" showInputMessage="1" showErrorMessage="1" sqref="G22:G28">
      <formula1>$B$22:$B$23</formula1>
    </dataValidation>
    <dataValidation type="list" allowBlank="1" showInputMessage="1" showErrorMessage="1" sqref="H22:H28">
      <formula1>$C$22:$C$27</formula1>
    </dataValidation>
    <dataValidation type="list" allowBlank="1" showInputMessage="1" showErrorMessage="1" sqref="I22:I25 I28">
      <formula1>$K$22:$K$26</formula1>
    </dataValidation>
    <dataValidation type="list" allowBlank="1" showInputMessage="1" showErrorMessage="1" sqref="P28">
      <formula1>$R$29:$R$30</formula1>
    </dataValidation>
    <dataValidation type="list" allowBlank="1" showInputMessage="1" showErrorMessage="1" sqref="P27">
      <formula1>$S$29:$S$30</formula1>
    </dataValidation>
    <dataValidation type="list" allowBlank="1" showInputMessage="1" showErrorMessage="1" sqref="P26">
      <formula1>$T$29:$T$31</formula1>
    </dataValidation>
    <dataValidation type="list" allowBlank="1" showInputMessage="1" showErrorMessage="1" sqref="A20 E20 K20 O20">
      <formula1>$U$3:$U$4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 K7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9</xdr:col>
                    <xdr:colOff>825500</xdr:colOff>
                    <xdr:row>1</xdr:row>
                    <xdr:rowOff>12700</xdr:rowOff>
                  </from>
                  <to>
                    <xdr:col>11</xdr:col>
                    <xdr:colOff>101600</xdr:colOff>
                    <xdr:row>1</xdr:row>
                    <xdr:rowOff>469900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46"/>
  <sheetViews>
    <sheetView workbookViewId="0">
      <selection activeCell="E5" sqref="E5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20.83203125" style="1" customWidth="1"/>
    <col min="4" max="4" width="9.1640625" style="1"/>
    <col min="5" max="5" width="18.6640625" style="1" customWidth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>
      <c r="A1" s="18" t="s">
        <v>52</v>
      </c>
      <c r="O1" s="15"/>
      <c r="P1" s="7"/>
      <c r="Q1" s="7"/>
      <c r="R1" s="7"/>
      <c r="S1" s="7"/>
      <c r="T1" s="7"/>
      <c r="U1" s="7"/>
      <c r="V1" s="7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36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97</v>
      </c>
      <c r="N2"/>
      <c r="O2" s="25"/>
      <c r="P2" s="25"/>
      <c r="Q2" s="25"/>
      <c r="R2" s="28"/>
      <c r="S2" s="25"/>
      <c r="T2" s="7"/>
      <c r="U2" s="7"/>
      <c r="V2" s="7"/>
    </row>
    <row r="3" spans="1:22" ht="18" customHeight="1">
      <c r="A3" s="32">
        <v>1</v>
      </c>
      <c r="B3" s="32">
        <v>1</v>
      </c>
      <c r="C3" s="32" t="s">
        <v>148</v>
      </c>
      <c r="D3" s="32" t="s">
        <v>12</v>
      </c>
      <c r="E3" s="32" t="s">
        <v>65</v>
      </c>
      <c r="F3" s="32" t="s">
        <v>20</v>
      </c>
      <c r="G3" s="27" t="str">
        <f t="array" ref="G3">IF(D3="Yes","N/A",INDEX(Init!$E$22:$E$27,MATCH(E3&amp;F3,Init!$H$22:$H$27&amp;Init!$I$22:$I$27,0)))</f>
        <v>N/A</v>
      </c>
      <c r="H3" s="27" t="str">
        <f>IF(LEN(F3)=0,"default",F3)</f>
        <v>default</v>
      </c>
      <c r="I3" s="27" t="str">
        <f t="array" ref="I3">LOOKUP(A3,Init!$A$5:$A$14,Init!$J$5:$J$14)</f>
        <v>201-202</v>
      </c>
      <c r="J3" s="27" t="str">
        <f>LOOKUP(A3,Init!$A$5:$A$14,Init!$K$5:$K$14)</f>
        <v>N/A</v>
      </c>
      <c r="K3" s="27" t="str">
        <f>IF(D16="Yes",C3,"N/A")</f>
        <v>N/A</v>
      </c>
      <c r="L3" s="27" t="str">
        <f>E3</f>
        <v>1G-NoNeg</v>
      </c>
      <c r="M3" s="38" t="s">
        <v>14</v>
      </c>
      <c r="N3"/>
      <c r="O3" s="29"/>
      <c r="P3" s="8"/>
      <c r="Q3" s="8"/>
      <c r="R3" s="9"/>
      <c r="S3" s="8"/>
      <c r="T3" s="7"/>
      <c r="U3" s="7"/>
      <c r="V3" s="7"/>
    </row>
    <row r="4" spans="1:22" ht="18" customHeight="1">
      <c r="A4" s="32">
        <v>1</v>
      </c>
      <c r="B4" s="32">
        <v>2</v>
      </c>
      <c r="C4" s="32" t="s">
        <v>149</v>
      </c>
      <c r="D4" s="32" t="s">
        <v>14</v>
      </c>
      <c r="E4" s="32" t="s">
        <v>65</v>
      </c>
      <c r="F4" s="32" t="s">
        <v>20</v>
      </c>
      <c r="G4" s="27" t="str">
        <f t="array" ref="G4">IF(D4="Yes","N/A",INDEX(Init!$E$22:$E$27,MATCH(E4&amp;F4,Init!$H$22:$H$27&amp;Init!$I$22:$I$27,0)))</f>
        <v>1G-NoNeg</v>
      </c>
      <c r="H4" s="27" t="str">
        <f t="shared" ref="H4:H11" si="0">IF(LEN(F4)=0,"default",F4)</f>
        <v>default</v>
      </c>
      <c r="I4" s="27" t="str">
        <f t="array" ref="I4">LOOKUP(A4,Init!$A$5:$A$14,Init!$J$5:$J$14)</f>
        <v>201-202</v>
      </c>
      <c r="J4" s="27" t="str">
        <f>LOOKUP(A4,Init!$A$5:$A$14,Init!$K$5:$K$14)</f>
        <v>N/A</v>
      </c>
      <c r="K4" s="27" t="str">
        <f t="shared" ref="K4:K11" si="1">IF(D17="Yes",C4,"N/A")</f>
        <v>N/A</v>
      </c>
      <c r="L4" s="27" t="str">
        <f t="shared" ref="L4:L11" si="2">E4</f>
        <v>1G-NoNeg</v>
      </c>
      <c r="M4" s="38" t="s">
        <v>14</v>
      </c>
      <c r="N4"/>
      <c r="O4" s="29"/>
      <c r="P4" s="8"/>
      <c r="Q4" s="8"/>
      <c r="R4" s="9"/>
      <c r="S4" s="8"/>
      <c r="T4" s="7"/>
      <c r="U4" s="7"/>
      <c r="V4" s="7"/>
    </row>
    <row r="5" spans="1:22" ht="18" customHeight="1">
      <c r="A5" s="32">
        <v>3</v>
      </c>
      <c r="B5" s="32">
        <v>3</v>
      </c>
      <c r="C5" s="32" t="s">
        <v>150</v>
      </c>
      <c r="D5" s="32" t="s">
        <v>70</v>
      </c>
      <c r="E5" s="32" t="s">
        <v>98</v>
      </c>
      <c r="F5" s="32" t="s">
        <v>20</v>
      </c>
      <c r="G5" s="27" t="str">
        <f t="array" ref="G5">IF(D5="Yes","N/A",INDEX(Init!$E$22:$E$27,MATCH(E5&amp;F5,Init!$H$22:$H$27&amp;Init!$I$22:$I$27,0)))</f>
        <v>1G</v>
      </c>
      <c r="H5" s="27" t="str">
        <f t="shared" si="0"/>
        <v>default</v>
      </c>
      <c r="I5" s="27" t="str">
        <f t="array" ref="I5">LOOKUP(A5,Init!$A$5:$A$14,Init!$J$5:$J$14)</f>
        <v>203-204</v>
      </c>
      <c r="J5" s="27" t="str">
        <f>LOOKUP(A5,Init!$A$5:$A$14,Init!$K$5:$K$14)</f>
        <v>N/A</v>
      </c>
      <c r="K5" s="27" t="str">
        <f t="shared" si="1"/>
        <v>N/A</v>
      </c>
      <c r="L5" s="27" t="str">
        <f t="shared" si="2"/>
        <v>1G-Neg</v>
      </c>
      <c r="M5" s="38" t="s">
        <v>14</v>
      </c>
      <c r="N5"/>
      <c r="O5" s="29"/>
      <c r="P5" s="8"/>
      <c r="Q5" s="8"/>
      <c r="R5" s="9"/>
      <c r="S5" s="8"/>
      <c r="T5" s="7"/>
      <c r="U5" s="7"/>
      <c r="V5" s="7"/>
    </row>
    <row r="6" spans="1:22" ht="18" customHeight="1">
      <c r="A6" s="32"/>
      <c r="B6" s="32"/>
      <c r="C6" s="32"/>
      <c r="D6" s="32"/>
      <c r="E6" s="32"/>
      <c r="F6" s="32"/>
      <c r="G6" s="27"/>
      <c r="H6" s="27"/>
      <c r="I6" s="27"/>
      <c r="J6" s="27"/>
      <c r="K6" s="27"/>
      <c r="L6" s="27"/>
      <c r="M6" s="38"/>
      <c r="N6"/>
      <c r="O6" s="9"/>
      <c r="P6" s="9"/>
      <c r="Q6" s="9"/>
      <c r="R6" s="9"/>
      <c r="S6" s="9"/>
      <c r="T6" s="7"/>
      <c r="U6" s="7"/>
      <c r="V6" s="7"/>
    </row>
    <row r="7" spans="1:22" ht="18" customHeight="1">
      <c r="A7" s="32"/>
      <c r="B7" s="32"/>
      <c r="C7" s="32"/>
      <c r="D7" s="32"/>
      <c r="E7" s="32"/>
      <c r="F7" s="32"/>
      <c r="G7" s="27"/>
      <c r="H7" s="27"/>
      <c r="I7" s="27"/>
      <c r="J7" s="27"/>
      <c r="K7" s="27"/>
      <c r="L7" s="27"/>
      <c r="M7" s="38"/>
      <c r="N7"/>
      <c r="O7" s="29"/>
      <c r="P7" s="8"/>
      <c r="Q7" s="8"/>
      <c r="R7" s="9"/>
      <c r="S7" s="8"/>
      <c r="T7" s="7"/>
      <c r="U7" s="7"/>
      <c r="V7" s="7"/>
    </row>
    <row r="8" spans="1:22" ht="18" customHeight="1">
      <c r="A8" s="32"/>
      <c r="B8" s="32"/>
      <c r="C8" s="32"/>
      <c r="D8" s="32"/>
      <c r="E8" s="32"/>
      <c r="F8" s="32"/>
      <c r="G8" s="27"/>
      <c r="H8" s="27"/>
      <c r="I8" s="27"/>
      <c r="J8" s="27"/>
      <c r="K8" s="27"/>
      <c r="L8" s="27"/>
      <c r="M8" s="38"/>
      <c r="N8"/>
      <c r="O8" s="7"/>
      <c r="P8" s="7"/>
      <c r="Q8" s="7"/>
      <c r="R8" s="7"/>
      <c r="S8" s="7"/>
      <c r="T8" s="7"/>
      <c r="U8" s="33" t="s">
        <v>96</v>
      </c>
      <c r="V8" s="7"/>
    </row>
    <row r="9" spans="1:22" ht="18" customHeight="1">
      <c r="A9" s="32"/>
      <c r="B9" s="32"/>
      <c r="C9" s="32"/>
      <c r="D9" s="32"/>
      <c r="E9" s="32"/>
      <c r="F9" s="32"/>
      <c r="G9" s="27"/>
      <c r="H9" s="27"/>
      <c r="I9" s="27"/>
      <c r="J9" s="27"/>
      <c r="K9" s="27"/>
      <c r="L9" s="27"/>
      <c r="M9" s="38"/>
      <c r="N9"/>
      <c r="O9" s="7"/>
      <c r="P9" s="7"/>
      <c r="Q9" s="7"/>
      <c r="R9" s="7"/>
      <c r="S9" s="7"/>
      <c r="T9" s="7"/>
      <c r="U9" s="34" t="s">
        <v>12</v>
      </c>
      <c r="V9" s="7"/>
    </row>
    <row r="10" spans="1:22" ht="18" customHeight="1">
      <c r="A10" s="32"/>
      <c r="B10" s="32"/>
      <c r="C10" s="32"/>
      <c r="D10" s="32"/>
      <c r="E10" s="32"/>
      <c r="F10" s="32"/>
      <c r="G10" s="27"/>
      <c r="H10" s="27"/>
      <c r="I10" s="27"/>
      <c r="J10" s="27"/>
      <c r="K10" s="27"/>
      <c r="L10" s="27"/>
      <c r="M10" s="38"/>
      <c r="N10"/>
      <c r="O10" s="25"/>
      <c r="P10" s="25"/>
      <c r="Q10" s="26"/>
      <c r="R10" s="7"/>
      <c r="S10" s="28"/>
      <c r="T10" s="7"/>
      <c r="U10" s="35" t="s">
        <v>14</v>
      </c>
      <c r="V10" s="7"/>
    </row>
    <row r="11" spans="1:22" ht="18" customHeight="1">
      <c r="A11" s="32"/>
      <c r="B11" s="32"/>
      <c r="C11" s="32"/>
      <c r="D11" s="32"/>
      <c r="E11" s="32"/>
      <c r="F11" s="32"/>
      <c r="G11" s="27"/>
      <c r="H11" s="27"/>
      <c r="I11" s="27"/>
      <c r="J11" s="27"/>
      <c r="K11" s="27"/>
      <c r="L11" s="27"/>
      <c r="M11" s="38"/>
      <c r="N11"/>
      <c r="O11" s="8"/>
      <c r="P11" s="8"/>
      <c r="Q11" s="8"/>
      <c r="R11" s="7"/>
      <c r="S11" s="9"/>
      <c r="T11" s="7"/>
      <c r="U11" s="7"/>
      <c r="V11" s="7"/>
    </row>
    <row r="12" spans="1:22" ht="18" customHeight="1">
      <c r="A12" s="32"/>
      <c r="B12" s="32"/>
      <c r="C12" s="32"/>
      <c r="D12" s="32"/>
      <c r="E12" s="32"/>
      <c r="F12" s="32"/>
      <c r="G12" s="27"/>
      <c r="H12" s="27"/>
      <c r="I12" s="27"/>
      <c r="J12" s="27"/>
      <c r="K12" s="27"/>
      <c r="L12" s="27"/>
      <c r="M12" s="38"/>
      <c r="N12"/>
      <c r="O12" s="8"/>
      <c r="P12" s="8"/>
      <c r="Q12" s="8"/>
      <c r="R12" s="7"/>
      <c r="S12" s="9"/>
      <c r="T12" s="7"/>
      <c r="U12" s="7"/>
      <c r="V12" s="7"/>
    </row>
    <row r="13" spans="1:22" ht="18" customHeight="1">
      <c r="A13" s="32"/>
      <c r="B13" s="32"/>
      <c r="C13" s="32"/>
      <c r="D13" s="32"/>
      <c r="E13" s="32"/>
      <c r="F13" s="32"/>
      <c r="G13" s="27"/>
      <c r="H13" s="27"/>
      <c r="I13" s="27"/>
      <c r="J13" s="27"/>
      <c r="K13" s="27"/>
      <c r="L13" s="27"/>
      <c r="M13" s="38"/>
      <c r="N13"/>
      <c r="O13" s="8"/>
      <c r="P13" s="8"/>
      <c r="Q13" s="8"/>
      <c r="R13" s="10"/>
      <c r="S13" s="9"/>
      <c r="T13" s="7"/>
      <c r="U13" s="7"/>
      <c r="V13" s="7"/>
    </row>
    <row r="14" spans="1:22" ht="18" customHeight="1">
      <c r="A14" s="32"/>
      <c r="B14" s="32"/>
      <c r="C14" s="32"/>
      <c r="D14" s="32"/>
      <c r="E14" s="32"/>
      <c r="F14" s="32"/>
      <c r="G14" s="27"/>
      <c r="H14" s="27"/>
      <c r="I14" s="27"/>
      <c r="J14" s="27"/>
      <c r="K14" s="27"/>
      <c r="L14" s="27"/>
      <c r="M14" s="38"/>
      <c r="N14"/>
      <c r="O14" s="10"/>
      <c r="P14" s="10"/>
      <c r="Q14" s="10"/>
      <c r="R14" s="10"/>
      <c r="S14" s="28"/>
      <c r="T14" s="7"/>
      <c r="U14" s="21" t="s">
        <v>69</v>
      </c>
      <c r="V14" s="22"/>
    </row>
    <row r="15" spans="1:22" ht="18" customHeight="1">
      <c r="A15" s="32"/>
      <c r="B15" s="32"/>
      <c r="C15" s="32"/>
      <c r="D15" s="32"/>
      <c r="E15" s="32"/>
      <c r="F15" s="32"/>
      <c r="G15" s="27"/>
      <c r="H15" s="27"/>
      <c r="I15" s="27"/>
      <c r="J15" s="27"/>
      <c r="K15" s="27"/>
      <c r="L15" s="27"/>
      <c r="M15" s="38"/>
      <c r="N15"/>
      <c r="O15" s="25"/>
      <c r="P15" s="8"/>
      <c r="Q15" s="8"/>
      <c r="R15" s="8"/>
      <c r="S15" s="30"/>
      <c r="T15" s="7"/>
      <c r="U15" s="11" t="s">
        <v>12</v>
      </c>
      <c r="V15" s="12" t="s">
        <v>72</v>
      </c>
    </row>
    <row r="16" spans="1:22" ht="18" customHeight="1">
      <c r="A16" s="32"/>
      <c r="B16" s="32"/>
      <c r="C16" s="32"/>
      <c r="D16" s="32"/>
      <c r="E16" s="32"/>
      <c r="F16" s="32"/>
      <c r="G16" s="27"/>
      <c r="H16" s="27"/>
      <c r="I16" s="27"/>
      <c r="J16" s="27"/>
      <c r="K16" s="27"/>
      <c r="L16" s="27"/>
      <c r="M16" s="38"/>
      <c r="N16"/>
      <c r="O16" s="8"/>
      <c r="P16" s="8"/>
      <c r="Q16" s="8"/>
      <c r="R16" s="8"/>
      <c r="S16" s="29"/>
      <c r="T16" s="7"/>
      <c r="U16" s="11" t="s">
        <v>14</v>
      </c>
      <c r="V16" s="12"/>
    </row>
    <row r="17" spans="1:22" ht="18" customHeight="1">
      <c r="A17" s="32"/>
      <c r="B17" s="32"/>
      <c r="C17" s="32"/>
      <c r="D17" s="32"/>
      <c r="E17" s="32"/>
      <c r="F17" s="32"/>
      <c r="G17" s="27"/>
      <c r="H17" s="27"/>
      <c r="I17" s="27"/>
      <c r="J17" s="27"/>
      <c r="K17" s="27"/>
      <c r="L17" s="27"/>
      <c r="M17" s="38"/>
      <c r="N17"/>
      <c r="O17" s="8"/>
      <c r="P17" s="8"/>
      <c r="Q17" s="8"/>
      <c r="R17" s="8"/>
      <c r="S17" s="7"/>
      <c r="T17" s="7"/>
      <c r="U17" s="11" t="s">
        <v>70</v>
      </c>
      <c r="V17" s="12"/>
    </row>
    <row r="18" spans="1:22" ht="18" customHeight="1">
      <c r="A18" s="32"/>
      <c r="B18" s="32"/>
      <c r="C18" s="32"/>
      <c r="D18" s="32"/>
      <c r="E18" s="32"/>
      <c r="F18" s="32"/>
      <c r="G18" s="27"/>
      <c r="H18" s="27"/>
      <c r="I18" s="27"/>
      <c r="J18" s="27"/>
      <c r="K18" s="27"/>
      <c r="L18" s="27"/>
      <c r="M18" s="38"/>
      <c r="N18"/>
      <c r="O18" s="8"/>
      <c r="P18" s="8"/>
      <c r="Q18" s="8"/>
      <c r="R18" s="8"/>
      <c r="S18" s="7"/>
      <c r="T18" s="7"/>
      <c r="U18" s="13" t="s">
        <v>71</v>
      </c>
      <c r="V18" s="14"/>
    </row>
    <row r="19" spans="1:22" ht="18" customHeight="1">
      <c r="A19" s="32"/>
      <c r="B19" s="32"/>
      <c r="C19" s="32"/>
      <c r="D19" s="32"/>
      <c r="E19" s="32"/>
      <c r="F19" s="32"/>
      <c r="G19" s="27"/>
      <c r="H19" s="27"/>
      <c r="I19" s="27"/>
      <c r="J19" s="27"/>
      <c r="K19" s="27"/>
      <c r="L19" s="27"/>
      <c r="M19" s="38"/>
      <c r="N19"/>
      <c r="O19" s="8"/>
      <c r="P19" s="8"/>
      <c r="Q19" s="8"/>
      <c r="R19" s="8"/>
      <c r="S19" s="7"/>
      <c r="T19" s="7"/>
      <c r="U19" s="7"/>
      <c r="V19" s="7"/>
    </row>
    <row r="20" spans="1:22" ht="18" customHeight="1">
      <c r="A20" s="32"/>
      <c r="B20" s="32"/>
      <c r="C20" s="32"/>
      <c r="D20" s="32"/>
      <c r="E20" s="32"/>
      <c r="F20" s="32"/>
      <c r="G20" s="27"/>
      <c r="H20" s="27"/>
      <c r="I20" s="27"/>
      <c r="J20" s="27"/>
      <c r="K20" s="27"/>
      <c r="L20" s="27"/>
      <c r="M20" s="38"/>
      <c r="N20"/>
      <c r="O20" s="8"/>
      <c r="P20" s="8"/>
      <c r="Q20" s="8"/>
      <c r="R20" s="8"/>
      <c r="S20" s="7"/>
      <c r="T20" s="7"/>
      <c r="U20" s="7"/>
      <c r="V20" s="7"/>
    </row>
    <row r="21" spans="1:22" ht="18" customHeight="1">
      <c r="A21" s="32"/>
      <c r="B21" s="32"/>
      <c r="C21" s="32"/>
      <c r="D21" s="32"/>
      <c r="E21" s="32"/>
      <c r="F21" s="32"/>
      <c r="G21" s="27"/>
      <c r="H21" s="27"/>
      <c r="I21" s="27"/>
      <c r="J21" s="27"/>
      <c r="K21" s="27"/>
      <c r="L21" s="27"/>
      <c r="M21" s="38"/>
      <c r="N21"/>
      <c r="O21" s="25"/>
      <c r="P21" s="25"/>
      <c r="Q21" s="25"/>
      <c r="R21" s="8"/>
      <c r="S21" s="7"/>
      <c r="T21" s="7"/>
      <c r="U21" s="7"/>
      <c r="V21" s="7"/>
    </row>
    <row r="22" spans="1:22" ht="18" customHeight="1">
      <c r="A22" s="32"/>
      <c r="B22" s="32"/>
      <c r="C22" s="32"/>
      <c r="D22" s="32"/>
      <c r="E22" s="32"/>
      <c r="F22" s="32"/>
      <c r="G22" s="27"/>
      <c r="H22" s="27"/>
      <c r="I22" s="27"/>
      <c r="J22" s="27"/>
      <c r="K22" s="27"/>
      <c r="L22" s="27"/>
      <c r="M22" s="38"/>
      <c r="N22"/>
      <c r="O22" s="8"/>
      <c r="P22" s="8"/>
      <c r="Q22" s="8"/>
      <c r="R22" s="8"/>
      <c r="S22" s="7"/>
      <c r="T22" s="7"/>
      <c r="U22" s="7"/>
      <c r="V22" s="7"/>
    </row>
    <row r="23" spans="1:22" ht="18" customHeight="1">
      <c r="A23" s="32"/>
      <c r="B23" s="32"/>
      <c r="C23" s="32"/>
      <c r="D23" s="32"/>
      <c r="E23" s="32"/>
      <c r="F23" s="32"/>
      <c r="G23" s="27"/>
      <c r="H23" s="27"/>
      <c r="I23" s="27"/>
      <c r="J23" s="27"/>
      <c r="K23" s="27"/>
      <c r="L23" s="27"/>
      <c r="M23" s="38"/>
      <c r="N23"/>
      <c r="O23" s="8"/>
      <c r="P23" s="8"/>
      <c r="Q23" s="8"/>
      <c r="R23" s="8"/>
      <c r="S23" s="7"/>
      <c r="T23" s="7"/>
      <c r="U23" s="7"/>
      <c r="V23" s="7"/>
    </row>
    <row r="24" spans="1:22" ht="18" customHeight="1">
      <c r="A24" s="32"/>
      <c r="B24" s="32"/>
      <c r="C24" s="32"/>
      <c r="D24" s="32"/>
      <c r="E24" s="32"/>
      <c r="F24" s="32"/>
      <c r="G24" s="27"/>
      <c r="H24" s="27"/>
      <c r="I24" s="27"/>
      <c r="J24" s="27"/>
      <c r="K24" s="27"/>
      <c r="L24" s="27"/>
      <c r="M24" s="38"/>
      <c r="O24" s="8"/>
      <c r="P24" s="8"/>
      <c r="Q24" s="31"/>
      <c r="R24" s="8"/>
      <c r="S24" s="7"/>
      <c r="T24" s="7"/>
      <c r="U24" s="7"/>
      <c r="V24" s="7"/>
    </row>
    <row r="25" spans="1:22" ht="18" customHeight="1">
      <c r="A25" s="32"/>
      <c r="B25" s="32"/>
      <c r="C25" s="32"/>
      <c r="D25" s="32"/>
      <c r="E25" s="32"/>
      <c r="F25" s="32"/>
      <c r="G25" s="27"/>
      <c r="H25" s="27"/>
      <c r="I25" s="27"/>
      <c r="J25" s="27"/>
      <c r="K25" s="27"/>
      <c r="L25" s="27"/>
      <c r="M25" s="38"/>
      <c r="O25" s="8"/>
      <c r="P25" s="8"/>
      <c r="Q25" s="8"/>
      <c r="R25" s="8"/>
      <c r="S25" s="7"/>
      <c r="T25" s="7"/>
      <c r="U25" s="7"/>
      <c r="V25" s="7"/>
    </row>
    <row r="26" spans="1:22" ht="18" customHeight="1">
      <c r="A26" s="32"/>
      <c r="B26" s="32"/>
      <c r="C26" s="32"/>
      <c r="D26" s="32"/>
      <c r="E26" s="32"/>
      <c r="F26" s="32"/>
      <c r="G26" s="27"/>
      <c r="H26" s="27"/>
      <c r="I26" s="27"/>
      <c r="J26" s="27"/>
      <c r="K26" s="27"/>
      <c r="L26" s="27"/>
      <c r="M26" s="38"/>
      <c r="O26" s="8"/>
      <c r="P26" s="8"/>
      <c r="Q26" s="8"/>
      <c r="R26" s="9"/>
      <c r="S26" s="7"/>
      <c r="T26" s="7"/>
      <c r="U26" s="7"/>
      <c r="V26" s="7"/>
    </row>
    <row r="27" spans="1:22" ht="18" customHeight="1">
      <c r="A27" s="32"/>
      <c r="B27" s="32"/>
      <c r="C27" s="32"/>
      <c r="D27" s="32"/>
      <c r="E27" s="32"/>
      <c r="F27" s="32"/>
      <c r="G27" s="27"/>
      <c r="H27" s="27"/>
      <c r="I27" s="27"/>
      <c r="J27" s="27"/>
      <c r="K27" s="27"/>
      <c r="L27" s="27"/>
      <c r="M27" s="38"/>
      <c r="O27" s="9"/>
      <c r="P27" s="9"/>
      <c r="Q27" s="9"/>
      <c r="R27" s="9"/>
      <c r="S27" s="7"/>
      <c r="T27" s="7"/>
      <c r="U27" s="7"/>
      <c r="V27" s="7"/>
    </row>
    <row r="28" spans="1:22" ht="18" customHeight="1">
      <c r="A28" s="32"/>
      <c r="B28" s="32"/>
      <c r="C28" s="32"/>
      <c r="D28" s="32"/>
      <c r="E28" s="32"/>
      <c r="F28" s="32"/>
      <c r="G28" s="27"/>
      <c r="H28" s="27"/>
      <c r="I28" s="27"/>
      <c r="J28" s="27"/>
      <c r="K28" s="27"/>
      <c r="L28" s="27"/>
      <c r="M28" s="38"/>
      <c r="O28" s="9"/>
      <c r="P28" s="9"/>
      <c r="Q28" s="9"/>
      <c r="R28" s="9"/>
      <c r="S28" s="7"/>
      <c r="T28" s="7"/>
      <c r="U28" s="7"/>
      <c r="V28" s="7"/>
    </row>
    <row r="29" spans="1:22" ht="18" customHeight="1">
      <c r="A29" s="32"/>
      <c r="B29" s="32"/>
      <c r="C29" s="32"/>
      <c r="D29" s="32"/>
      <c r="E29" s="32"/>
      <c r="F29" s="32"/>
      <c r="G29" s="27"/>
      <c r="H29" s="27"/>
      <c r="I29" s="27"/>
      <c r="J29" s="27"/>
      <c r="K29" s="27"/>
      <c r="L29" s="27"/>
      <c r="M29" s="38"/>
      <c r="O29" s="9"/>
      <c r="P29" s="9"/>
      <c r="Q29" s="9"/>
      <c r="R29" s="9"/>
      <c r="S29" s="7"/>
      <c r="T29" s="7"/>
      <c r="U29" s="7"/>
      <c r="V29" s="7"/>
    </row>
    <row r="30" spans="1:22" ht="18" customHeight="1">
      <c r="A30" s="32"/>
      <c r="B30" s="32"/>
      <c r="C30" s="32"/>
      <c r="D30" s="32"/>
      <c r="E30" s="32"/>
      <c r="F30" s="32"/>
      <c r="G30" s="27"/>
      <c r="H30" s="27"/>
      <c r="I30" s="27"/>
      <c r="J30" s="27"/>
      <c r="K30" s="27"/>
      <c r="L30" s="27"/>
      <c r="M30" s="38"/>
      <c r="O30" s="9"/>
      <c r="P30" s="9"/>
      <c r="Q30" s="9"/>
      <c r="R30" s="9"/>
      <c r="S30" s="7"/>
    </row>
    <row r="31" spans="1:22" ht="18" customHeight="1">
      <c r="A31" s="32"/>
      <c r="B31" s="32"/>
      <c r="C31" s="32"/>
      <c r="D31" s="32"/>
      <c r="E31" s="32"/>
      <c r="F31" s="32"/>
      <c r="G31" s="27"/>
      <c r="H31" s="27"/>
      <c r="I31" s="27"/>
      <c r="J31" s="27"/>
      <c r="K31" s="27"/>
      <c r="L31" s="27"/>
      <c r="M31" s="38"/>
    </row>
    <row r="32" spans="1:22" ht="18" customHeight="1">
      <c r="A32" s="32"/>
      <c r="B32" s="32"/>
      <c r="C32" s="32"/>
      <c r="D32" s="32"/>
      <c r="E32" s="32"/>
      <c r="F32" s="32"/>
      <c r="G32" s="27"/>
      <c r="H32" s="27"/>
      <c r="I32" s="27"/>
      <c r="J32" s="27"/>
      <c r="K32" s="27"/>
      <c r="L32" s="27"/>
      <c r="M32" s="38"/>
    </row>
    <row r="33" spans="1:13" ht="18" customHeight="1">
      <c r="A33" s="32"/>
      <c r="B33" s="32"/>
      <c r="C33" s="32"/>
      <c r="D33" s="32"/>
      <c r="E33" s="32"/>
      <c r="F33" s="32"/>
      <c r="G33" s="27"/>
      <c r="H33" s="27"/>
      <c r="I33" s="27"/>
      <c r="J33" s="27"/>
      <c r="K33" s="27"/>
      <c r="L33" s="27"/>
      <c r="M33" s="38"/>
    </row>
    <row r="34" spans="1:13" ht="18" customHeight="1">
      <c r="A34" s="32"/>
      <c r="B34" s="32"/>
      <c r="C34" s="32"/>
      <c r="D34" s="32"/>
      <c r="E34" s="32"/>
      <c r="F34" s="32"/>
      <c r="G34" s="27"/>
      <c r="H34" s="27"/>
      <c r="I34" s="27"/>
      <c r="J34" s="27"/>
      <c r="K34" s="27"/>
      <c r="L34" s="27"/>
      <c r="M34" s="38"/>
    </row>
    <row r="35" spans="1:13" ht="18" customHeight="1">
      <c r="A35" s="32"/>
      <c r="B35" s="32"/>
      <c r="C35" s="32"/>
      <c r="D35" s="32"/>
      <c r="E35" s="32"/>
      <c r="F35" s="32"/>
      <c r="G35" s="27"/>
      <c r="H35" s="27"/>
      <c r="I35" s="27"/>
      <c r="J35" s="27"/>
      <c r="K35" s="27"/>
      <c r="L35" s="27"/>
      <c r="M35" s="38"/>
    </row>
    <row r="36" spans="1:13" ht="18" customHeight="1">
      <c r="A36" s="32"/>
      <c r="B36" s="32"/>
      <c r="C36" s="32"/>
      <c r="D36" s="32"/>
      <c r="E36" s="32"/>
      <c r="F36" s="32"/>
      <c r="G36" s="27"/>
      <c r="H36" s="27"/>
      <c r="I36" s="27"/>
      <c r="J36" s="27"/>
      <c r="K36" s="27"/>
      <c r="L36" s="27"/>
      <c r="M36" s="38"/>
    </row>
    <row r="37" spans="1:13" ht="18" customHeight="1">
      <c r="A37" s="32"/>
      <c r="B37" s="32"/>
      <c r="C37" s="32"/>
      <c r="D37" s="32"/>
      <c r="E37" s="32"/>
      <c r="F37" s="32"/>
      <c r="G37" s="27"/>
      <c r="H37" s="27"/>
      <c r="I37" s="27"/>
      <c r="J37" s="27"/>
      <c r="K37" s="27"/>
      <c r="L37" s="27"/>
      <c r="M37" s="38"/>
    </row>
    <row r="38" spans="1:13" ht="18" customHeight="1">
      <c r="A38" s="32"/>
      <c r="B38" s="32"/>
      <c r="C38" s="32"/>
      <c r="D38" s="32"/>
      <c r="E38" s="32"/>
      <c r="F38" s="32"/>
      <c r="G38" s="27"/>
      <c r="H38" s="27"/>
      <c r="I38" s="27"/>
      <c r="J38" s="27"/>
      <c r="K38" s="27"/>
      <c r="L38" s="27"/>
      <c r="M38" s="38"/>
    </row>
    <row r="39" spans="1:13" ht="18" customHeight="1">
      <c r="A39" s="32"/>
      <c r="B39" s="32"/>
      <c r="C39" s="32"/>
      <c r="D39" s="32"/>
      <c r="E39" s="32"/>
      <c r="F39" s="32"/>
      <c r="G39" s="27"/>
      <c r="H39" s="27"/>
      <c r="I39" s="27"/>
      <c r="J39" s="27"/>
      <c r="K39" s="27"/>
      <c r="L39" s="27"/>
      <c r="M39" s="38"/>
    </row>
    <row r="40" spans="1:13" ht="18" customHeight="1">
      <c r="A40" s="32"/>
      <c r="B40" s="32"/>
      <c r="C40" s="32"/>
      <c r="D40" s="32"/>
      <c r="E40" s="32"/>
      <c r="F40" s="32"/>
      <c r="G40" s="27"/>
      <c r="H40" s="27"/>
      <c r="I40" s="27"/>
      <c r="J40" s="27"/>
      <c r="K40" s="27"/>
      <c r="L40" s="27"/>
      <c r="M40" s="38"/>
    </row>
    <row r="41" spans="1:13" ht="18" customHeight="1">
      <c r="A41" s="32"/>
      <c r="B41" s="32"/>
      <c r="C41" s="32"/>
      <c r="D41" s="32"/>
      <c r="E41" s="32"/>
      <c r="F41" s="32"/>
      <c r="G41" s="27"/>
      <c r="H41" s="27"/>
      <c r="I41" s="27"/>
      <c r="J41" s="27"/>
      <c r="K41" s="27"/>
      <c r="L41" s="27"/>
      <c r="M41" s="38"/>
    </row>
    <row r="42" spans="1:13" ht="18" customHeight="1">
      <c r="A42" s="32"/>
      <c r="B42" s="32"/>
      <c r="C42" s="32"/>
      <c r="D42" s="32"/>
      <c r="E42" s="32"/>
      <c r="F42" s="32"/>
      <c r="G42" s="27"/>
      <c r="H42" s="27"/>
      <c r="I42" s="27"/>
      <c r="J42" s="27"/>
      <c r="K42" s="27"/>
      <c r="L42" s="27"/>
      <c r="M42" s="38"/>
    </row>
    <row r="43" spans="1:13" ht="18" customHeight="1">
      <c r="A43" s="32"/>
      <c r="B43" s="32"/>
      <c r="C43" s="32"/>
      <c r="D43" s="32"/>
      <c r="E43" s="32"/>
      <c r="F43" s="32"/>
      <c r="G43" s="27"/>
      <c r="H43" s="27"/>
      <c r="I43" s="27"/>
      <c r="J43" s="27"/>
      <c r="K43" s="27"/>
      <c r="L43" s="27"/>
      <c r="M43" s="38"/>
    </row>
    <row r="45" spans="1:13" ht="18" customHeight="1">
      <c r="A45" s="1" t="s">
        <v>59</v>
      </c>
    </row>
    <row r="46" spans="1:13" ht="18" customHeight="1">
      <c r="A46" s="1" t="s">
        <v>60</v>
      </c>
    </row>
  </sheetData>
  <conditionalFormatting sqref="A6:A28">
    <cfRule type="expression" dxfId="89" priority="51">
      <formula>($M6="Yes")</formula>
    </cfRule>
  </conditionalFormatting>
  <conditionalFormatting sqref="B6:F11 B12:C12 B13:F28">
    <cfRule type="expression" dxfId="88" priority="50">
      <formula>($M6="Yes")</formula>
    </cfRule>
  </conditionalFormatting>
  <conditionalFormatting sqref="G3">
    <cfRule type="expression" dxfId="87" priority="49">
      <formula>($M3="Yes")</formula>
    </cfRule>
  </conditionalFormatting>
  <conditionalFormatting sqref="G4:G11 G14:G16">
    <cfRule type="expression" dxfId="86" priority="48">
      <formula>($M4="Yes")</formula>
    </cfRule>
  </conditionalFormatting>
  <conditionalFormatting sqref="H3:L11 H14:L24">
    <cfRule type="expression" dxfId="85" priority="47">
      <formula>($M3="Yes")</formula>
    </cfRule>
  </conditionalFormatting>
  <conditionalFormatting sqref="G17:G24">
    <cfRule type="expression" dxfId="84" priority="44">
      <formula>($M17="Yes")</formula>
    </cfRule>
  </conditionalFormatting>
  <conditionalFormatting sqref="G13">
    <cfRule type="expression" dxfId="83" priority="43">
      <formula>($M13="Yes")</formula>
    </cfRule>
  </conditionalFormatting>
  <conditionalFormatting sqref="H13:L13">
    <cfRule type="expression" dxfId="82" priority="42">
      <formula>($M13="Yes")</formula>
    </cfRule>
  </conditionalFormatting>
  <conditionalFormatting sqref="H25:L28">
    <cfRule type="expression" dxfId="81" priority="40">
      <formula>($M25="Yes")</formula>
    </cfRule>
  </conditionalFormatting>
  <conditionalFormatting sqref="G25:G28">
    <cfRule type="expression" dxfId="80" priority="39">
      <formula>($M25="Yes")</formula>
    </cfRule>
  </conditionalFormatting>
  <conditionalFormatting sqref="D12:F12">
    <cfRule type="expression" dxfId="79" priority="38">
      <formula>($M12="Yes")</formula>
    </cfRule>
  </conditionalFormatting>
  <conditionalFormatting sqref="G12">
    <cfRule type="expression" dxfId="78" priority="37">
      <formula>($M12="Yes")</formula>
    </cfRule>
  </conditionalFormatting>
  <conditionalFormatting sqref="H12:L12">
    <cfRule type="expression" dxfId="77" priority="36">
      <formula>($M12="Yes")</formula>
    </cfRule>
  </conditionalFormatting>
  <conditionalFormatting sqref="A29">
    <cfRule type="expression" dxfId="76" priority="35">
      <formula>($M29="Yes")</formula>
    </cfRule>
  </conditionalFormatting>
  <conditionalFormatting sqref="B29:F29">
    <cfRule type="expression" dxfId="75" priority="34">
      <formula>($M29="Yes")</formula>
    </cfRule>
  </conditionalFormatting>
  <conditionalFormatting sqref="H29:L29">
    <cfRule type="expression" dxfId="74" priority="33">
      <formula>($M29="Yes")</formula>
    </cfRule>
  </conditionalFormatting>
  <conditionalFormatting sqref="G29">
    <cfRule type="expression" dxfId="73" priority="32">
      <formula>($M29="Yes")</formula>
    </cfRule>
  </conditionalFormatting>
  <conditionalFormatting sqref="A30:A32">
    <cfRule type="expression" dxfId="72" priority="31">
      <formula>($M30="Yes")</formula>
    </cfRule>
  </conditionalFormatting>
  <conditionalFormatting sqref="B30:C32 E30:F32">
    <cfRule type="expression" dxfId="71" priority="30">
      <formula>($M30="Yes")</formula>
    </cfRule>
  </conditionalFormatting>
  <conditionalFormatting sqref="H30:L32">
    <cfRule type="expression" dxfId="70" priority="29">
      <formula>($M30="Yes")</formula>
    </cfRule>
  </conditionalFormatting>
  <conditionalFormatting sqref="G30:G32">
    <cfRule type="expression" dxfId="69" priority="28">
      <formula>($M30="Yes")</formula>
    </cfRule>
  </conditionalFormatting>
  <conditionalFormatting sqref="A33:A34">
    <cfRule type="expression" dxfId="68" priority="27">
      <formula>($M33="Yes")</formula>
    </cfRule>
  </conditionalFormatting>
  <conditionalFormatting sqref="B33:C34 E33:F34">
    <cfRule type="expression" dxfId="67" priority="26">
      <formula>($M33="Yes")</formula>
    </cfRule>
  </conditionalFormatting>
  <conditionalFormatting sqref="H33:L34">
    <cfRule type="expression" dxfId="66" priority="25">
      <formula>($M33="Yes")</formula>
    </cfRule>
  </conditionalFormatting>
  <conditionalFormatting sqref="G33:G34">
    <cfRule type="expression" dxfId="65" priority="24">
      <formula>($M33="Yes")</formula>
    </cfRule>
  </conditionalFormatting>
  <conditionalFormatting sqref="D30:D34">
    <cfRule type="expression" dxfId="64" priority="23">
      <formula>($M30="Yes")</formula>
    </cfRule>
  </conditionalFormatting>
  <conditionalFormatting sqref="B36:F38">
    <cfRule type="expression" dxfId="63" priority="21">
      <formula>($M36="Yes")</formula>
    </cfRule>
  </conditionalFormatting>
  <conditionalFormatting sqref="H36:L38">
    <cfRule type="expression" dxfId="62" priority="20">
      <formula>($M36="Yes")</formula>
    </cfRule>
  </conditionalFormatting>
  <conditionalFormatting sqref="G36:G38">
    <cfRule type="expression" dxfId="61" priority="19">
      <formula>($M36="Yes")</formula>
    </cfRule>
  </conditionalFormatting>
  <conditionalFormatting sqref="A36:A38">
    <cfRule type="expression" dxfId="60" priority="18">
      <formula>($M36="Yes")</formula>
    </cfRule>
  </conditionalFormatting>
  <conditionalFormatting sqref="B35 D35:F35">
    <cfRule type="expression" dxfId="59" priority="17">
      <formula>($M35="Yes")</formula>
    </cfRule>
  </conditionalFormatting>
  <conditionalFormatting sqref="H35:L35">
    <cfRule type="expression" dxfId="58" priority="16">
      <formula>($M35="Yes")</formula>
    </cfRule>
  </conditionalFormatting>
  <conditionalFormatting sqref="G35">
    <cfRule type="expression" dxfId="57" priority="15">
      <formula>($M35="Yes")</formula>
    </cfRule>
  </conditionalFormatting>
  <conditionalFormatting sqref="A35">
    <cfRule type="expression" dxfId="56" priority="14">
      <formula>($M35="Yes")</formula>
    </cfRule>
  </conditionalFormatting>
  <conditionalFormatting sqref="C35">
    <cfRule type="expression" dxfId="55" priority="13">
      <formula>($M35="Yes")</formula>
    </cfRule>
  </conditionalFormatting>
  <conditionalFormatting sqref="H39:L39">
    <cfRule type="expression" dxfId="54" priority="11">
      <formula>($M39="Yes")</formula>
    </cfRule>
  </conditionalFormatting>
  <conditionalFormatting sqref="G39">
    <cfRule type="expression" dxfId="53" priority="10">
      <formula>($M39="Yes")</formula>
    </cfRule>
  </conditionalFormatting>
  <conditionalFormatting sqref="A39">
    <cfRule type="expression" dxfId="52" priority="9">
      <formula>($M39="Yes")</formula>
    </cfRule>
  </conditionalFormatting>
  <conditionalFormatting sqref="B40:F43">
    <cfRule type="expression" dxfId="51" priority="8">
      <formula>($M40="Yes")</formula>
    </cfRule>
  </conditionalFormatting>
  <conditionalFormatting sqref="H40:L43">
    <cfRule type="expression" dxfId="50" priority="7">
      <formula>($M40="Yes")</formula>
    </cfRule>
  </conditionalFormatting>
  <conditionalFormatting sqref="G40:G43">
    <cfRule type="expression" dxfId="49" priority="6">
      <formula>($M40="Yes")</formula>
    </cfRule>
  </conditionalFormatting>
  <conditionalFormatting sqref="A40:A43">
    <cfRule type="expression" dxfId="48" priority="5">
      <formula>($M40="Yes")</formula>
    </cfRule>
  </conditionalFormatting>
  <conditionalFormatting sqref="B39:F39">
    <cfRule type="expression" dxfId="47" priority="4">
      <formula>($M39="Yes")</formula>
    </cfRule>
  </conditionalFormatting>
  <conditionalFormatting sqref="A3">
    <cfRule type="expression" dxfId="29" priority="3">
      <formula>($M3="Yes")</formula>
    </cfRule>
  </conditionalFormatting>
  <conditionalFormatting sqref="A4:A5">
    <cfRule type="expression" dxfId="27" priority="2">
      <formula>($M4="Yes")</formula>
    </cfRule>
  </conditionalFormatting>
  <conditionalFormatting sqref="B3:F5">
    <cfRule type="expression" dxfId="25" priority="1">
      <formula>($M3="Yes")</formula>
    </cfRule>
  </conditionalFormatting>
  <dataValidations count="2">
    <dataValidation type="list" allowBlank="1" showInputMessage="1" showErrorMessage="1" sqref="M3:M43">
      <formula1>$U$9:$U$10</formula1>
    </dataValidation>
    <dataValidation type="list" allowBlank="1" showInputMessage="1" showErrorMessage="1" sqref="D3:D43">
      <formula1>$U$15:$U$18</formula1>
    </dataValidation>
  </dataValidations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Init!$C$22:$C$27</xm:f>
          </x14:formula1>
          <xm:sqref>E6:E43</xm:sqref>
        </x14:dataValidation>
        <x14:dataValidation type="list" allowBlank="1" showInputMessage="1" showErrorMessage="1">
          <x14:formula1>
            <xm:f>Init!$K$22:$K$35</xm:f>
          </x14:formula1>
          <xm:sqref>F6:F43</xm:sqref>
        </x14:dataValidation>
        <x14:dataValidation type="list" allowBlank="1" showInputMessage="1" showErrorMessage="1">
          <x14:formula1>
            <xm:f>Init!$A$5:$A$14</xm:f>
          </x14:formula1>
          <xm:sqref>A6:A43</xm:sqref>
        </x14:dataValidation>
        <x14:dataValidation type="list" allowBlank="1" showInputMessage="1" showErrorMessage="1">
          <x14:formula1>
            <xm:f>[1]Init!#REF!</xm:f>
          </x14:formula1>
          <xm:sqref>A3:A5</xm:sqref>
        </x14:dataValidation>
        <x14:dataValidation type="list" allowBlank="1" showInputMessage="1" showErrorMessage="1">
          <x14:formula1>
            <xm:f>[1]Init!#REF!</xm:f>
          </x14:formula1>
          <xm:sqref>F3:F5</xm:sqref>
        </x14:dataValidation>
        <x14:dataValidation type="list" allowBlank="1" showInputMessage="1" showErrorMessage="1">
          <x14:formula1>
            <xm:f>[1]Init!#REF!</xm:f>
          </x14:formula1>
          <xm:sqref>E3:E5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27"/>
  <sheetViews>
    <sheetView workbookViewId="0">
      <selection activeCell="D5" sqref="D5"/>
    </sheetView>
  </sheetViews>
  <sheetFormatPr baseColWidth="10" defaultRowHeight="14" x14ac:dyDescent="0"/>
  <cols>
    <col min="1" max="1" width="14.83203125" customWidth="1"/>
    <col min="6" max="6" width="11.33203125" customWidth="1"/>
  </cols>
  <sheetData>
    <row r="1" spans="1:10" ht="40" customHeight="1">
      <c r="A1" s="18" t="s">
        <v>58</v>
      </c>
    </row>
    <row r="2" spans="1:10" ht="15">
      <c r="A2" s="2" t="s">
        <v>2</v>
      </c>
      <c r="B2" s="2" t="s">
        <v>16</v>
      </c>
      <c r="C2" s="3" t="s">
        <v>22</v>
      </c>
      <c r="D2" s="3" t="s">
        <v>23</v>
      </c>
      <c r="E2" s="2" t="s">
        <v>40</v>
      </c>
      <c r="F2" s="2" t="s">
        <v>17</v>
      </c>
      <c r="G2" s="2" t="s">
        <v>97</v>
      </c>
    </row>
    <row r="3" spans="1:10">
      <c r="A3" s="32" t="s">
        <v>148</v>
      </c>
      <c r="B3" s="32">
        <v>102</v>
      </c>
      <c r="C3" s="32" t="s">
        <v>95</v>
      </c>
      <c r="D3" s="32" t="s">
        <v>20</v>
      </c>
      <c r="E3" s="32" t="s">
        <v>57</v>
      </c>
      <c r="F3" s="32" t="s">
        <v>12</v>
      </c>
      <c r="G3" s="37" t="s">
        <v>14</v>
      </c>
      <c r="J3" t="s">
        <v>12</v>
      </c>
    </row>
    <row r="4" spans="1:10">
      <c r="A4" s="32" t="s">
        <v>149</v>
      </c>
      <c r="B4" s="32">
        <v>102</v>
      </c>
      <c r="C4" s="32" t="s">
        <v>95</v>
      </c>
      <c r="D4" s="32" t="s">
        <v>20</v>
      </c>
      <c r="E4" s="32" t="s">
        <v>57</v>
      </c>
      <c r="F4" s="32" t="s">
        <v>12</v>
      </c>
      <c r="G4" s="37" t="s">
        <v>14</v>
      </c>
      <c r="J4" t="s">
        <v>14</v>
      </c>
    </row>
    <row r="5" spans="1:10">
      <c r="A5" s="32" t="s">
        <v>150</v>
      </c>
      <c r="B5" s="32">
        <v>102</v>
      </c>
      <c r="C5" s="32" t="s">
        <v>95</v>
      </c>
      <c r="D5" s="32" t="s">
        <v>20</v>
      </c>
      <c r="E5" s="32" t="s">
        <v>57</v>
      </c>
      <c r="F5" s="32" t="s">
        <v>12</v>
      </c>
      <c r="G5" s="37" t="s">
        <v>14</v>
      </c>
    </row>
    <row r="6" spans="1:10">
      <c r="A6" s="32"/>
      <c r="B6" s="32"/>
      <c r="C6" s="32"/>
      <c r="D6" s="32"/>
      <c r="E6" s="32"/>
      <c r="F6" s="32"/>
      <c r="G6" s="37"/>
    </row>
    <row r="7" spans="1:10">
      <c r="A7" s="32"/>
      <c r="B7" s="32"/>
      <c r="C7" s="32"/>
      <c r="D7" s="32"/>
      <c r="E7" s="32"/>
      <c r="F7" s="32"/>
      <c r="G7" s="37"/>
    </row>
    <row r="8" spans="1:10">
      <c r="A8" s="32"/>
      <c r="B8" s="32"/>
      <c r="C8" s="32"/>
      <c r="D8" s="32"/>
      <c r="E8" s="32"/>
      <c r="F8" s="32"/>
      <c r="G8" s="37"/>
    </row>
    <row r="9" spans="1:10">
      <c r="A9" s="32"/>
      <c r="B9" s="32"/>
      <c r="C9" s="32"/>
      <c r="D9" s="32"/>
      <c r="E9" s="32"/>
      <c r="F9" s="32"/>
      <c r="G9" s="37"/>
    </row>
    <row r="10" spans="1:10">
      <c r="A10" s="32"/>
      <c r="B10" s="32"/>
      <c r="C10" s="32"/>
      <c r="D10" s="32"/>
      <c r="E10" s="32"/>
      <c r="F10" s="32"/>
      <c r="G10" s="37"/>
    </row>
    <row r="11" spans="1:10">
      <c r="A11" s="4"/>
      <c r="B11" s="5"/>
      <c r="C11" s="6"/>
      <c r="D11" s="6"/>
      <c r="E11" s="4"/>
      <c r="F11" s="4"/>
      <c r="G11" s="37"/>
    </row>
    <row r="12" spans="1:10">
      <c r="A12" s="4"/>
      <c r="B12" s="5"/>
      <c r="C12" s="6"/>
      <c r="D12" s="6"/>
      <c r="E12" s="4"/>
      <c r="F12" s="4"/>
      <c r="G12" s="37"/>
    </row>
    <row r="13" spans="1:10">
      <c r="A13" s="4"/>
      <c r="B13" s="5"/>
      <c r="C13" s="6"/>
      <c r="D13" s="6"/>
      <c r="E13" s="4"/>
      <c r="F13" s="4"/>
      <c r="G13" s="37"/>
    </row>
    <row r="14" spans="1:10">
      <c r="A14" s="4"/>
      <c r="B14" s="5"/>
      <c r="C14" s="6"/>
      <c r="D14" s="6"/>
      <c r="E14" s="4"/>
      <c r="F14" s="4"/>
      <c r="G14" s="37"/>
    </row>
    <row r="15" spans="1:10">
      <c r="A15" s="4"/>
      <c r="B15" s="6"/>
      <c r="C15" s="6"/>
      <c r="D15" s="6"/>
      <c r="E15" s="6"/>
      <c r="F15" s="4"/>
      <c r="G15" s="37"/>
    </row>
    <row r="16" spans="1:10">
      <c r="A16" s="4"/>
      <c r="B16" s="6"/>
      <c r="C16" s="6"/>
      <c r="D16" s="6"/>
      <c r="E16" s="6"/>
      <c r="F16" s="4"/>
      <c r="G16" s="37"/>
    </row>
    <row r="17" spans="1:7">
      <c r="A17" s="4"/>
      <c r="B17" s="4"/>
      <c r="C17" s="4"/>
      <c r="D17" s="4"/>
      <c r="E17" s="4"/>
      <c r="F17" s="4"/>
      <c r="G17" s="37"/>
    </row>
    <row r="18" spans="1:7">
      <c r="A18" s="4"/>
      <c r="B18" s="4"/>
      <c r="C18" s="4"/>
      <c r="D18" s="4"/>
      <c r="E18" s="4"/>
      <c r="F18" s="4"/>
      <c r="G18" s="37"/>
    </row>
    <row r="19" spans="1:7">
      <c r="A19" s="4"/>
      <c r="B19" s="4"/>
      <c r="C19" s="4"/>
      <c r="D19" s="4"/>
      <c r="E19" s="4"/>
      <c r="F19" s="4"/>
      <c r="G19" s="37"/>
    </row>
    <row r="20" spans="1:7">
      <c r="A20" s="4"/>
      <c r="B20" s="4"/>
      <c r="C20" s="4"/>
      <c r="D20" s="4"/>
      <c r="E20" s="4"/>
      <c r="F20" s="4"/>
      <c r="G20" s="37"/>
    </row>
    <row r="21" spans="1:7">
      <c r="A21" s="4"/>
      <c r="B21" s="4"/>
      <c r="C21" s="4"/>
      <c r="D21" s="4"/>
      <c r="E21" s="4"/>
      <c r="F21" s="4"/>
      <c r="G21" s="37"/>
    </row>
    <row r="22" spans="1:7">
      <c r="A22" s="4"/>
      <c r="B22" s="4"/>
      <c r="C22" s="4"/>
      <c r="D22" s="4"/>
      <c r="E22" s="4"/>
      <c r="F22" s="4"/>
      <c r="G22" s="37"/>
    </row>
    <row r="23" spans="1:7">
      <c r="A23" s="4"/>
      <c r="B23" s="4"/>
      <c r="C23" s="4"/>
      <c r="D23" s="4"/>
      <c r="E23" s="4"/>
      <c r="F23" s="4"/>
      <c r="G23" s="37"/>
    </row>
    <row r="24" spans="1:7">
      <c r="A24" s="4"/>
      <c r="B24" s="4"/>
      <c r="C24" s="4"/>
      <c r="D24" s="4"/>
      <c r="E24" s="4"/>
      <c r="F24" s="4"/>
      <c r="G24" s="37"/>
    </row>
    <row r="25" spans="1:7">
      <c r="A25" s="4"/>
      <c r="B25" s="4"/>
      <c r="C25" s="4"/>
      <c r="D25" s="4"/>
      <c r="E25" s="4"/>
      <c r="F25" s="4"/>
      <c r="G25" s="37"/>
    </row>
    <row r="26" spans="1:7">
      <c r="A26" s="4"/>
      <c r="B26" s="4"/>
      <c r="C26" s="4"/>
      <c r="D26" s="4"/>
      <c r="E26" s="4"/>
      <c r="F26" s="4"/>
      <c r="G26" s="37"/>
    </row>
    <row r="27" spans="1:7">
      <c r="A27" s="4"/>
      <c r="B27" s="4"/>
      <c r="C27" s="4"/>
      <c r="D27" s="4"/>
      <c r="E27" s="4"/>
      <c r="F27" s="4"/>
      <c r="G27" s="37"/>
    </row>
  </sheetData>
  <conditionalFormatting sqref="B7:F8 B6 D6:F6">
    <cfRule type="expression" dxfId="43" priority="25">
      <formula>($G6="Yes")</formula>
    </cfRule>
  </conditionalFormatting>
  <conditionalFormatting sqref="A6">
    <cfRule type="expression" dxfId="42" priority="24">
      <formula>($G6="Yes")</formula>
    </cfRule>
  </conditionalFormatting>
  <conditionalFormatting sqref="A7:A8">
    <cfRule type="expression" dxfId="41" priority="23">
      <formula>($G7="Yes")</formula>
    </cfRule>
  </conditionalFormatting>
  <conditionalFormatting sqref="A9">
    <cfRule type="expression" dxfId="40" priority="22">
      <formula>($G9="Yes")</formula>
    </cfRule>
  </conditionalFormatting>
  <conditionalFormatting sqref="A10">
    <cfRule type="expression" dxfId="39" priority="21">
      <formula>($G10="Yes")</formula>
    </cfRule>
  </conditionalFormatting>
  <conditionalFormatting sqref="C9">
    <cfRule type="expression" dxfId="38" priority="20">
      <formula>($G9="Yes")</formula>
    </cfRule>
  </conditionalFormatting>
  <conditionalFormatting sqref="B9">
    <cfRule type="expression" dxfId="37" priority="19">
      <formula>($G9="Yes")</formula>
    </cfRule>
  </conditionalFormatting>
  <conditionalFormatting sqref="B10">
    <cfRule type="expression" dxfId="36" priority="18">
      <formula>($G10="Yes")</formula>
    </cfRule>
  </conditionalFormatting>
  <conditionalFormatting sqref="D9">
    <cfRule type="expression" dxfId="35" priority="17">
      <formula>($G9="Yes")</formula>
    </cfRule>
  </conditionalFormatting>
  <conditionalFormatting sqref="C10">
    <cfRule type="expression" dxfId="34" priority="16">
      <formula>($G10="Yes")</formula>
    </cfRule>
  </conditionalFormatting>
  <conditionalFormatting sqref="D10">
    <cfRule type="expression" dxfId="33" priority="15">
      <formula>($G10="Yes")</formula>
    </cfRule>
  </conditionalFormatting>
  <conditionalFormatting sqref="E9">
    <cfRule type="expression" dxfId="32" priority="14">
      <formula>($G9="Yes")</formula>
    </cfRule>
  </conditionalFormatting>
  <conditionalFormatting sqref="E10">
    <cfRule type="expression" dxfId="31" priority="13">
      <formula>($G10="Yes")</formula>
    </cfRule>
  </conditionalFormatting>
  <conditionalFormatting sqref="F9:F10">
    <cfRule type="expression" dxfId="30" priority="12">
      <formula>($G9="Yes")</formula>
    </cfRule>
  </conditionalFormatting>
  <conditionalFormatting sqref="A3">
    <cfRule type="expression" dxfId="23" priority="11">
      <formula>($G3="Yes")</formula>
    </cfRule>
  </conditionalFormatting>
  <conditionalFormatting sqref="B3 F3">
    <cfRule type="expression" dxfId="21" priority="10">
      <formula>($G3="Yes")</formula>
    </cfRule>
  </conditionalFormatting>
  <conditionalFormatting sqref="B4:B5">
    <cfRule type="expression" dxfId="19" priority="9">
      <formula>($G4="Yes")</formula>
    </cfRule>
  </conditionalFormatting>
  <conditionalFormatting sqref="A4">
    <cfRule type="expression" dxfId="17" priority="8">
      <formula>($G4="Yes")</formula>
    </cfRule>
  </conditionalFormatting>
  <conditionalFormatting sqref="A5">
    <cfRule type="expression" dxfId="15" priority="7">
      <formula>($G5="Yes")</formula>
    </cfRule>
  </conditionalFormatting>
  <conditionalFormatting sqref="D3:D5">
    <cfRule type="expression" dxfId="11" priority="5">
      <formula>($G3="Yes")</formula>
    </cfRule>
  </conditionalFormatting>
  <conditionalFormatting sqref="C3:C6">
    <cfRule type="expression" dxfId="9" priority="4">
      <formula>($G3="Yes")</formula>
    </cfRule>
  </conditionalFormatting>
  <conditionalFormatting sqref="E3">
    <cfRule type="expression" dxfId="7" priority="3">
      <formula>($G3="Yes")</formula>
    </cfRule>
  </conditionalFormatting>
  <conditionalFormatting sqref="E4:E5">
    <cfRule type="expression" dxfId="5" priority="2">
      <formula>($G4="Yes")</formula>
    </cfRule>
  </conditionalFormatting>
  <conditionalFormatting sqref="F4:F5">
    <cfRule type="expression" dxfId="3" priority="1">
      <formula>($G4="Yes")</formula>
    </cfRule>
  </conditionalFormatting>
  <dataValidations count="2">
    <dataValidation type="list" allowBlank="1" showInputMessage="1" showErrorMessage="1" sqref="F3:G27">
      <formula1>$J$3:$J$4</formula1>
    </dataValidation>
    <dataValidation type="list" allowBlank="1" showInputMessage="1" showErrorMessage="1" sqref="A9:A10">
      <formula1>$C$6:$C$39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ANPs!$G$4:$G$16</xm:f>
          </x14:formula1>
          <xm:sqref>C3:C14</xm:sqref>
        </x14:dataValidation>
        <x14:dataValidation type="list" allowBlank="1" showInputMessage="1" showErrorMessage="1">
          <x14:formula1>
            <xm:f>ANPs!$H$4:$H$16</xm:f>
          </x14:formula1>
          <xm:sqref>D3:D14</xm:sqref>
        </x14:dataValidation>
        <x14:dataValidation type="list" allowBlank="1" showInputMessage="1" showErrorMessage="1">
          <x14:formula1>
            <xm:f>ANPs!$I$4:$I$16</xm:f>
          </x14:formula1>
          <xm:sqref>E3:E14</xm:sqref>
        </x14:dataValidation>
        <x14:dataValidation type="list" allowBlank="1" showInputMessage="1" showErrorMessage="1">
          <x14:formula1>
            <xm:f>CablePlan!$C$6:$C$26</xm:f>
          </x14:formula1>
          <xm:sqref>A11:A27 A6:A8</xm:sqref>
        </x14:dataValidation>
        <x14:dataValidation type="list" allowBlank="1" showInputMessage="1" showErrorMessage="1">
          <x14:formula1>
            <xm:f>[1]CablePlan!#REF!</xm:f>
          </x14:formula1>
          <xm:sqref>A3:A5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2:F58"/>
  <sheetViews>
    <sheetView workbookViewId="0">
      <selection activeCell="A3" sqref="A3"/>
    </sheetView>
  </sheetViews>
  <sheetFormatPr baseColWidth="10" defaultRowHeight="14" x14ac:dyDescent="0"/>
  <cols>
    <col min="1" max="1" width="16.33203125" customWidth="1"/>
    <col min="2" max="2" width="12.33203125" customWidth="1"/>
    <col min="3" max="3" width="111.1640625" customWidth="1"/>
  </cols>
  <sheetData>
    <row r="2" spans="1:6">
      <c r="A2" s="17" t="s">
        <v>106</v>
      </c>
      <c r="B2" s="17" t="s">
        <v>104</v>
      </c>
      <c r="C2" s="17" t="s">
        <v>105</v>
      </c>
      <c r="D2" s="17" t="s">
        <v>146</v>
      </c>
      <c r="E2" s="17" t="s">
        <v>144</v>
      </c>
      <c r="F2" s="17" t="s">
        <v>145</v>
      </c>
    </row>
    <row r="3" spans="1:6">
      <c r="A3" s="39"/>
    </row>
    <row r="4" spans="1:6">
      <c r="A4" s="39"/>
    </row>
    <row r="5" spans="1:6">
      <c r="A5" s="39"/>
    </row>
    <row r="6" spans="1:6">
      <c r="A6" s="39"/>
    </row>
    <row r="7" spans="1:6">
      <c r="A7" s="39"/>
    </row>
    <row r="8" spans="1:6">
      <c r="A8" s="39"/>
    </row>
    <row r="9" spans="1:6">
      <c r="A9" s="39"/>
    </row>
    <row r="10" spans="1:6">
      <c r="A10" s="39"/>
    </row>
    <row r="11" spans="1:6">
      <c r="A11" s="39"/>
    </row>
    <row r="12" spans="1:6">
      <c r="A12" s="39"/>
    </row>
    <row r="13" spans="1:6">
      <c r="A13" s="39"/>
    </row>
    <row r="14" spans="1:6">
      <c r="A14" s="39"/>
    </row>
    <row r="15" spans="1:6">
      <c r="A15" s="39"/>
    </row>
    <row r="16" spans="1:6">
      <c r="A16" s="39"/>
    </row>
    <row r="17" spans="1:1">
      <c r="A17" s="39"/>
    </row>
    <row r="18" spans="1:1">
      <c r="A18" s="39"/>
    </row>
    <row r="19" spans="1:1">
      <c r="A19" s="39"/>
    </row>
    <row r="20" spans="1:1">
      <c r="A20" s="39"/>
    </row>
    <row r="21" spans="1:1">
      <c r="A21" s="39"/>
    </row>
    <row r="22" spans="1:1">
      <c r="A22" s="39"/>
    </row>
    <row r="23" spans="1:1">
      <c r="A23" s="39"/>
    </row>
    <row r="24" spans="1:1">
      <c r="A24" s="39"/>
    </row>
    <row r="25" spans="1:1">
      <c r="A25" s="39"/>
    </row>
    <row r="26" spans="1:1">
      <c r="A26" s="39"/>
    </row>
    <row r="27" spans="1:1">
      <c r="A27" s="39"/>
    </row>
    <row r="28" spans="1:1">
      <c r="A28" s="39"/>
    </row>
    <row r="29" spans="1:1">
      <c r="A29" s="39"/>
    </row>
    <row r="30" spans="1:1">
      <c r="A30" s="39"/>
    </row>
    <row r="31" spans="1:1">
      <c r="A31" s="39"/>
    </row>
    <row r="32" spans="1:1">
      <c r="A32" s="39"/>
    </row>
    <row r="33" spans="1:1">
      <c r="A33" s="39"/>
    </row>
    <row r="34" spans="1:1">
      <c r="A34" s="39"/>
    </row>
    <row r="35" spans="1:1">
      <c r="A35" s="39"/>
    </row>
    <row r="36" spans="1:1">
      <c r="A36" s="39"/>
    </row>
    <row r="37" spans="1:1">
      <c r="A37" s="39"/>
    </row>
    <row r="38" spans="1:1">
      <c r="A38" s="39"/>
    </row>
    <row r="39" spans="1:1">
      <c r="A39" s="39"/>
    </row>
    <row r="40" spans="1:1">
      <c r="A40" s="39"/>
    </row>
    <row r="41" spans="1:1">
      <c r="A41" s="39"/>
    </row>
    <row r="42" spans="1:1">
      <c r="A42" s="39"/>
    </row>
    <row r="43" spans="1:1">
      <c r="A43" s="39"/>
    </row>
    <row r="44" spans="1:1">
      <c r="A44" s="39"/>
    </row>
    <row r="45" spans="1:1">
      <c r="A45" s="39"/>
    </row>
    <row r="46" spans="1:1">
      <c r="A46" s="39"/>
    </row>
    <row r="47" spans="1:1">
      <c r="A47" s="39"/>
    </row>
    <row r="48" spans="1:1">
      <c r="A48" s="39"/>
    </row>
    <row r="49" spans="1:1">
      <c r="A49" s="39"/>
    </row>
    <row r="50" spans="1:1">
      <c r="A50" s="39"/>
    </row>
    <row r="51" spans="1:1">
      <c r="A51" s="39"/>
    </row>
    <row r="52" spans="1:1">
      <c r="A52" s="39"/>
    </row>
    <row r="53" spans="1:1">
      <c r="A53" s="39"/>
    </row>
    <row r="54" spans="1:1">
      <c r="A54" s="39"/>
    </row>
    <row r="55" spans="1:1">
      <c r="A55" s="39"/>
    </row>
    <row r="56" spans="1:1">
      <c r="A56" s="39"/>
    </row>
    <row r="57" spans="1:1">
      <c r="A57" s="39"/>
    </row>
    <row r="58" spans="1:1">
      <c r="A58" s="39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Log_Click">
                <anchor moveWithCells="1" sizeWithCells="1">
                  <from>
                    <xdr:col>7</xdr:col>
                    <xdr:colOff>673100</xdr:colOff>
                    <xdr:row>0</xdr:row>
                    <xdr:rowOff>50800</xdr:rowOff>
                  </from>
                  <to>
                    <xdr:col>9</xdr:col>
                    <xdr:colOff>139700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31"/>
  <sheetViews>
    <sheetView topLeftCell="A9" workbookViewId="0">
      <selection activeCell="B28" sqref="B28"/>
    </sheetView>
  </sheetViews>
  <sheetFormatPr baseColWidth="10" defaultRowHeight="14" x14ac:dyDescent="0"/>
  <sheetData>
    <row r="2" spans="1:2">
      <c r="A2" t="s">
        <v>24</v>
      </c>
      <c r="B2" t="s">
        <v>25</v>
      </c>
    </row>
    <row r="3" spans="1:2">
      <c r="A3" t="s">
        <v>26</v>
      </c>
      <c r="B3" t="s">
        <v>27</v>
      </c>
    </row>
    <row r="4" spans="1:2">
      <c r="B4" t="s">
        <v>29</v>
      </c>
    </row>
    <row r="5" spans="1:2">
      <c r="B5" t="s">
        <v>30</v>
      </c>
    </row>
    <row r="6" spans="1:2">
      <c r="A6" t="s">
        <v>43</v>
      </c>
      <c r="B6" t="s">
        <v>44</v>
      </c>
    </row>
    <row r="7" spans="1:2">
      <c r="B7" t="s">
        <v>45</v>
      </c>
    </row>
    <row r="8" spans="1:2">
      <c r="B8" t="s">
        <v>46</v>
      </c>
    </row>
    <row r="9" spans="1:2">
      <c r="B9" t="s">
        <v>81</v>
      </c>
    </row>
    <row r="10" spans="1:2">
      <c r="B10" t="s">
        <v>82</v>
      </c>
    </row>
    <row r="11" spans="1:2">
      <c r="B11" t="s">
        <v>47</v>
      </c>
    </row>
    <row r="12" spans="1:2">
      <c r="B12" t="s">
        <v>48</v>
      </c>
    </row>
    <row r="13" spans="1:2">
      <c r="A13" t="s">
        <v>78</v>
      </c>
      <c r="B13" t="s">
        <v>79</v>
      </c>
    </row>
    <row r="14" spans="1:2">
      <c r="B14" t="s">
        <v>80</v>
      </c>
    </row>
    <row r="15" spans="1:2">
      <c r="B15" t="s">
        <v>83</v>
      </c>
    </row>
    <row r="16" spans="1:2">
      <c r="A16" t="s">
        <v>84</v>
      </c>
      <c r="B16" t="s">
        <v>85</v>
      </c>
    </row>
    <row r="17" spans="1:2">
      <c r="B17" t="s">
        <v>86</v>
      </c>
    </row>
    <row r="18" spans="1:2">
      <c r="B18" t="s">
        <v>87</v>
      </c>
    </row>
    <row r="19" spans="1:2">
      <c r="A19" t="s">
        <v>93</v>
      </c>
      <c r="B19" t="s">
        <v>94</v>
      </c>
    </row>
    <row r="20" spans="1:2">
      <c r="B20" t="s">
        <v>133</v>
      </c>
    </row>
    <row r="21" spans="1:2">
      <c r="A21" t="s">
        <v>100</v>
      </c>
      <c r="B21" t="s">
        <v>101</v>
      </c>
    </row>
    <row r="22" spans="1:2">
      <c r="B22" t="s">
        <v>107</v>
      </c>
    </row>
    <row r="23" spans="1:2">
      <c r="B23" t="s">
        <v>108</v>
      </c>
    </row>
    <row r="24" spans="1:2">
      <c r="A24" t="s">
        <v>109</v>
      </c>
      <c r="B24" t="s">
        <v>110</v>
      </c>
    </row>
    <row r="25" spans="1:2">
      <c r="B25" t="s">
        <v>111</v>
      </c>
    </row>
    <row r="26" spans="1:2">
      <c r="B26" t="s">
        <v>112</v>
      </c>
    </row>
    <row r="27" spans="1:2">
      <c r="B27" t="s">
        <v>113</v>
      </c>
    </row>
    <row r="28" spans="1:2">
      <c r="A28" t="s">
        <v>122</v>
      </c>
      <c r="B28" s="51" t="s">
        <v>152</v>
      </c>
    </row>
    <row r="29" spans="1:2">
      <c r="B29" t="s">
        <v>132</v>
      </c>
    </row>
    <row r="30" spans="1:2">
      <c r="B30" t="s">
        <v>135</v>
      </c>
    </row>
    <row r="31" spans="1:2">
      <c r="B31" t="s">
        <v>151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Log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2016-03-03T08:56:20Z</dcterms:modified>
</cp:coreProperties>
</file>