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7A2D7E96-6E34-419A-AE5F-296B3A7E7977}"/>
  <workbookPr codeName="ThisWorkbook" autoCompressPictures="0"/>
  <bookViews>
    <workbookView xWindow="0" yWindow="0" windowWidth="25600" windowHeight="16060"/>
  </bookViews>
  <sheets>
    <sheet name="ANPs" sheetId="5" r:id="rId1"/>
    <sheet name="Init" sheetId="4" r:id="rId2"/>
    <sheet name="CablePlan" sheetId="1" r:id="rId3"/>
    <sheet name="ServerPlan" sheetId="3" r:id="rId4"/>
    <sheet name="ServerPlan2" sheetId="6" r:id="rId5"/>
    <sheet name="VersionControl" sheetId="2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6" i="1" l="1" a="1"/>
  <c r="G6" i="1"/>
  <c r="G5" i="1" a="1"/>
  <c r="G5" i="1"/>
  <c r="G4" i="1" a="1"/>
  <c r="G4" i="1"/>
  <c r="G3" i="1" a="1"/>
  <c r="G3" i="1"/>
  <c r="J8" i="1" a="1"/>
  <c r="J8" i="1"/>
  <c r="J7" i="1" a="1"/>
  <c r="J7" i="1"/>
  <c r="J6" i="1" a="1"/>
  <c r="J6" i="1"/>
  <c r="J5" i="1" a="1"/>
  <c r="J5" i="1"/>
  <c r="J4" i="1" a="1"/>
  <c r="J4" i="1"/>
  <c r="J3" i="1" a="1"/>
  <c r="J3" i="1"/>
  <c r="I8" i="1" a="1"/>
  <c r="I8" i="1"/>
  <c r="I7" i="1" a="1"/>
  <c r="I7" i="1"/>
  <c r="I6" i="1" a="1"/>
  <c r="I6" i="1"/>
  <c r="I5" i="1" a="1"/>
  <c r="I5" i="1"/>
  <c r="I4" i="1" a="1"/>
  <c r="I4" i="1"/>
  <c r="I3" i="1" a="1"/>
  <c r="I3" i="1"/>
  <c r="K5" i="4"/>
  <c r="K6" i="4"/>
  <c r="J6" i="4"/>
  <c r="J5" i="4"/>
  <c r="G8" i="1" a="1"/>
  <c r="G8" i="1"/>
  <c r="H3" i="1"/>
  <c r="H4" i="1"/>
  <c r="H5" i="1"/>
  <c r="H6" i="1"/>
  <c r="G7" i="1" a="1"/>
  <c r="G7" i="1"/>
  <c r="L8" i="1"/>
  <c r="L7" i="1"/>
  <c r="M8" i="1"/>
  <c r="M7" i="1"/>
  <c r="M6" i="1"/>
  <c r="M5" i="1"/>
  <c r="M4" i="1"/>
  <c r="M3" i="1"/>
  <c r="H8" i="1"/>
  <c r="H7" i="1"/>
  <c r="K8" i="1"/>
  <c r="K7" i="1"/>
  <c r="L6" i="1"/>
  <c r="K6" i="1"/>
  <c r="L5" i="1"/>
  <c r="K5" i="1"/>
  <c r="L4" i="1"/>
  <c r="K4" i="1"/>
  <c r="L3" i="1"/>
  <c r="K3" i="1"/>
</calcChain>
</file>

<file path=xl/comments1.xml><?xml version="1.0" encoding="utf-8"?>
<comments xmlns="http://schemas.openxmlformats.org/spreadsheetml/2006/main">
  <authors>
    <author>Jose Moreno</author>
  </authors>
  <commentList>
    <comment ref="E4" authorId="0">
      <text>
        <r>
          <rPr>
            <sz val="9"/>
            <color indexed="81"/>
            <rFont val="Calibri"/>
            <family val="2"/>
          </rPr>
          <t xml:space="preserve">For example, 1/47-48
</t>
        </r>
      </text>
    </comment>
  </commentList>
</comments>
</file>

<file path=xl/sharedStrings.xml><?xml version="1.0" encoding="utf-8"?>
<sst xmlns="http://schemas.openxmlformats.org/spreadsheetml/2006/main" count="268" uniqueCount="121">
  <si>
    <t>Rack</t>
  </si>
  <si>
    <t>Port</t>
  </si>
  <si>
    <t>Server</t>
  </si>
  <si>
    <t>Active/active</t>
  </si>
  <si>
    <t>Zone (opt)</t>
  </si>
  <si>
    <t>Int. Pol. Group Name</t>
  </si>
  <si>
    <t>AAEP</t>
  </si>
  <si>
    <t>Int Prof Name</t>
  </si>
  <si>
    <t>VPC policy (group)</t>
  </si>
  <si>
    <t>Speed</t>
  </si>
  <si>
    <t>CDP</t>
  </si>
  <si>
    <t>LLDP</t>
  </si>
  <si>
    <t>Yes</t>
  </si>
  <si>
    <t>1G</t>
  </si>
  <si>
    <t>No</t>
  </si>
  <si>
    <t>10G</t>
  </si>
  <si>
    <t>VLAN</t>
  </si>
  <si>
    <t>Native</t>
  </si>
  <si>
    <t>CDP_ON</t>
  </si>
  <si>
    <t>LLDP_ON</t>
  </si>
  <si>
    <t>default</t>
  </si>
  <si>
    <t>LLP</t>
  </si>
  <si>
    <t>Tenant</t>
  </si>
  <si>
    <t>App</t>
  </si>
  <si>
    <t>0.1</t>
  </si>
  <si>
    <t>Initial version</t>
  </si>
  <si>
    <t>0.2</t>
  </si>
  <si>
    <t>FEX support added (no VPC on FEX yet)</t>
  </si>
  <si>
    <t>FEX master</t>
  </si>
  <si>
    <t>AAEP support</t>
  </si>
  <si>
    <t>Speed valid</t>
  </si>
  <si>
    <t>Speed verification</t>
  </si>
  <si>
    <t>Rack#</t>
  </si>
  <si>
    <t>Switch1</t>
  </si>
  <si>
    <t>Switch2</t>
  </si>
  <si>
    <t>is FEX?</t>
  </si>
  <si>
    <t>FEX father</t>
  </si>
  <si>
    <t>father ports</t>
  </si>
  <si>
    <t>Is FEX?</t>
  </si>
  <si>
    <t>The init button will create switch policy groups, switch profiles and port selectors</t>
  </si>
  <si>
    <t>ANP</t>
  </si>
  <si>
    <t>EPG</t>
  </si>
  <si>
    <t>BD</t>
  </si>
  <si>
    <t>VRF</t>
  </si>
  <si>
    <t>0.3</t>
  </si>
  <si>
    <t>Init tab</t>
  </si>
  <si>
    <t>CablePlan sheet separated in CablePlan and ServerPlan</t>
  </si>
  <si>
    <t>ANP sheet</t>
  </si>
  <si>
    <t>Init tab: create VPC policies</t>
  </si>
  <si>
    <t>Init tab: create FEX</t>
  </si>
  <si>
    <t>Subnet</t>
  </si>
  <si>
    <t>Step 1: define logical topology and networking namespaces</t>
  </si>
  <si>
    <t>Step 2: define switches, FEXs and port configurations</t>
  </si>
  <si>
    <t>Step 3. Define how servers are connected to the network</t>
  </si>
  <si>
    <t>Mytenant</t>
  </si>
  <si>
    <t>MyApp</t>
  </si>
  <si>
    <t>1.1.1.1/24</t>
  </si>
  <si>
    <t>BD-1</t>
  </si>
  <si>
    <t>BD-2</t>
  </si>
  <si>
    <t>Add here whatever VRFs/BDs to be created</t>
  </si>
  <si>
    <t>Add here the tenant/ANP/EPG structure</t>
  </si>
  <si>
    <t>EPG-1</t>
  </si>
  <si>
    <t>EPG-2</t>
  </si>
  <si>
    <t>47-48</t>
  </si>
  <si>
    <t>Enter the leaves and FEXes that form your fabric, grouped in pairs (rack#)</t>
  </si>
  <si>
    <t>ACI-OOB-NoVPC</t>
  </si>
  <si>
    <t>ESX-01</t>
  </si>
  <si>
    <t>UCS-FI-A</t>
  </si>
  <si>
    <t>UCS-FI-B</t>
  </si>
  <si>
    <t>VLAN1</t>
  </si>
  <si>
    <t>VLAN2</t>
  </si>
  <si>
    <t>Step 4. Define which servers belong to which EPG</t>
  </si>
  <si>
    <t>Enter a description of how servers in each rack are cabled</t>
  </si>
  <si>
    <t>The grey area on the right defines some aspects of the fabric</t>
  </si>
  <si>
    <t>CDP_OFF</t>
  </si>
  <si>
    <t>LLDP_OFF</t>
  </si>
  <si>
    <t>Link</t>
  </si>
  <si>
    <t>10G_Neg</t>
  </si>
  <si>
    <t>10G_NoNeg</t>
  </si>
  <si>
    <t>1G_Neg</t>
  </si>
  <si>
    <t>1G_NoNeg</t>
  </si>
  <si>
    <t>100M_Neg</t>
  </si>
  <si>
    <t>100M_NoNeg</t>
  </si>
  <si>
    <t>1G-NoNeg</t>
  </si>
  <si>
    <t>10G-NoNeg</t>
  </si>
  <si>
    <t>From</t>
  </si>
  <si>
    <t>To</t>
  </si>
  <si>
    <t>Active/Standby</t>
  </si>
  <si>
    <t>Left-only</t>
  </si>
  <si>
    <t>Right-only</t>
  </si>
  <si>
    <t>(VPC)</t>
  </si>
  <si>
    <t>VLAN zones</t>
  </si>
  <si>
    <t>Name</t>
  </si>
  <si>
    <t>VLAN zone</t>
  </si>
  <si>
    <t>100M</t>
  </si>
  <si>
    <t>Policies to be created (don't change this)</t>
  </si>
  <si>
    <t>Policy groups to be created</t>
  </si>
  <si>
    <t>2.2.2.2/24</t>
  </si>
  <si>
    <t>External</t>
  </si>
  <si>
    <t>MyVRF</t>
  </si>
  <si>
    <t>VLANs</t>
  </si>
  <si>
    <t>ESX-02a</t>
  </si>
  <si>
    <t>ESX-02b</t>
  </si>
  <si>
    <t>Int. Profile</t>
  </si>
  <si>
    <t>0.5</t>
  </si>
  <si>
    <t>Form for URL / password</t>
  </si>
  <si>
    <t>native VLAN logic fixed</t>
  </si>
  <si>
    <t>Left-only/Right-only</t>
  </si>
  <si>
    <t>AEP assignment fixed</t>
  </si>
  <si>
    <t>Mytenant/MyApp/EPG-1</t>
  </si>
  <si>
    <t>Mytenant/MyApp/EPG-2</t>
  </si>
  <si>
    <t>External/VLANs/VLAN1</t>
  </si>
  <si>
    <t>External/VLANs/VLAN2</t>
  </si>
  <si>
    <t>VLAN numbers (underlined if native)</t>
  </si>
  <si>
    <t>Server/EPG matrix</t>
  </si>
  <si>
    <t>0.6</t>
  </si>
  <si>
    <t>Self-signed certificates</t>
  </si>
  <si>
    <t>Web calls consolidated in a single function</t>
  </si>
  <si>
    <t>Option to not show error messages</t>
  </si>
  <si>
    <t>General options</t>
  </si>
  <si>
    <t>Error msgs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</si>
</sst>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136"/>
      <scheme val="minor"/>
    </font>
    <font>
      <sz val="12"/>
      <color theme="0" tint="-0.34998626667073579"/>
      <name val="Calibri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b/>
      <u/>
      <sz val="14"/>
      <color theme="1"/>
      <name val="Calibri"/>
      <scheme val="minor"/>
    </font>
    <font>
      <sz val="12"/>
      <color rgb="FF000000"/>
      <name val="Lucida Grande"/>
    </font>
    <font>
      <sz val="9"/>
      <color indexed="81"/>
      <name val="Calibri"/>
      <family val="2"/>
    </font>
    <font>
      <b/>
      <sz val="22"/>
      <color theme="3"/>
      <name val="Calibri"/>
      <scheme val="minor"/>
    </font>
    <font>
      <b/>
      <sz val="22"/>
      <color rgb="FF1F497D"/>
      <name val="Calibri"/>
      <scheme val="minor"/>
    </font>
    <font>
      <b/>
      <sz val="11"/>
      <color rgb="FFFF0000"/>
      <name val="Calibri"/>
      <scheme val="minor"/>
    </font>
    <font>
      <sz val="11"/>
      <color rgb="FFFF0000"/>
      <name val="Calibri"/>
      <scheme val="minor"/>
    </font>
    <font>
      <b/>
      <sz val="11"/>
      <name val="Calibri"/>
      <scheme val="minor"/>
    </font>
    <font>
      <sz val="12"/>
      <color rgb="FF000000"/>
      <name val="Calibri"/>
    </font>
    <font>
      <u/>
      <sz val="11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64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/>
    <xf numFmtId="0" fontId="5" fillId="0" borderId="0" xfId="0" applyFont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/>
    <xf numFmtId="0" fontId="0" fillId="3" borderId="0" xfId="0" applyFill="1" applyBorder="1" applyAlignment="1">
      <alignment vertical="center"/>
    </xf>
    <xf numFmtId="0" fontId="0" fillId="3" borderId="0" xfId="0" applyFill="1"/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6" fillId="3" borderId="0" xfId="0" applyFont="1" applyFill="1" applyAlignment="1">
      <alignment vertical="center"/>
    </xf>
    <xf numFmtId="0" fontId="5" fillId="2" borderId="0" xfId="0" applyFont="1" applyFill="1"/>
    <xf numFmtId="0" fontId="9" fillId="0" borderId="0" xfId="0" applyFont="1"/>
    <xf numFmtId="0" fontId="5" fillId="0" borderId="0" xfId="0" applyFont="1"/>
    <xf numFmtId="0" fontId="10" fillId="0" borderId="0" xfId="0" applyFont="1" applyAlignment="1">
      <alignment vertical="top"/>
    </xf>
    <xf numFmtId="0" fontId="5" fillId="3" borderId="0" xfId="0" applyFont="1" applyFill="1"/>
    <xf numFmtId="0" fontId="0" fillId="3" borderId="0" xfId="0" applyFont="1" applyFill="1"/>
    <xf numFmtId="0" fontId="11" fillId="3" borderId="0" xfId="0" applyFont="1" applyFill="1"/>
    <xf numFmtId="0" fontId="12" fillId="3" borderId="0" xfId="0" applyFont="1" applyFill="1"/>
    <xf numFmtId="0" fontId="5" fillId="3" borderId="1" xfId="0" applyFont="1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2" borderId="0" xfId="0" applyFont="1" applyFill="1"/>
    <xf numFmtId="0" fontId="13" fillId="3" borderId="0" xfId="0" applyFont="1" applyFill="1"/>
    <xf numFmtId="0" fontId="1" fillId="3" borderId="0" xfId="0" applyFont="1" applyFill="1" applyBorder="1"/>
    <xf numFmtId="0" fontId="5" fillId="3" borderId="0" xfId="0" applyFont="1" applyFill="1" applyBorder="1"/>
    <xf numFmtId="0" fontId="2" fillId="0" borderId="0" xfId="0" applyFont="1" applyAlignment="1">
      <alignment horizontal="center"/>
    </xf>
    <xf numFmtId="0" fontId="5" fillId="3" borderId="0" xfId="0" applyFont="1" applyFill="1" applyBorder="1" applyAlignment="1">
      <alignment vertical="center"/>
    </xf>
    <xf numFmtId="0" fontId="0" fillId="3" borderId="0" xfId="0" quotePrefix="1" applyFill="1" applyBorder="1"/>
    <xf numFmtId="0" fontId="0" fillId="3" borderId="0" xfId="0" quotePrefix="1" applyFill="1" applyBorder="1" applyAlignment="1">
      <alignment vertical="center"/>
    </xf>
    <xf numFmtId="17" fontId="0" fillId="3" borderId="0" xfId="0" quotePrefix="1" applyNumberFormat="1" applyFill="1" applyBorder="1"/>
    <xf numFmtId="0" fontId="0" fillId="0" borderId="0" xfId="0" applyFont="1"/>
    <xf numFmtId="0" fontId="0" fillId="2" borderId="0" xfId="0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0" borderId="0" xfId="0" applyAlignment="1">
      <alignment wrapText="1"/>
    </xf>
  </cellXfs>
  <cellStyles count="26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2</xdr:row>
          <xdr:rowOff>25400</xdr:rowOff>
        </xdr:from>
        <xdr:to>
          <xdr:col>12</xdr:col>
          <xdr:colOff>330200</xdr:colOff>
          <xdr:row>4</xdr:row>
          <xdr:rowOff>101600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21</xdr:row>
          <xdr:rowOff>76200</xdr:rowOff>
        </xdr:from>
        <xdr:to>
          <xdr:col>2</xdr:col>
          <xdr:colOff>482600</xdr:colOff>
          <xdr:row>23</xdr:row>
          <xdr:rowOff>50800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Show Credentials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19</xdr:row>
          <xdr:rowOff>38100</xdr:rowOff>
        </xdr:from>
        <xdr:to>
          <xdr:col>2</xdr:col>
          <xdr:colOff>482600</xdr:colOff>
          <xdr:row>21</xdr:row>
          <xdr:rowOff>12700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Enter Credentials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165100</xdr:colOff>
          <xdr:row>2</xdr:row>
          <xdr:rowOff>0</xdr:rowOff>
        </xdr:from>
        <xdr:to>
          <xdr:col>12</xdr:col>
          <xdr:colOff>431800</xdr:colOff>
          <xdr:row>4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1</xdr:row>
          <xdr:rowOff>12700</xdr:rowOff>
        </xdr:from>
        <xdr:to>
          <xdr:col>13</xdr:col>
          <xdr:colOff>1079500</xdr:colOff>
          <xdr:row>2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3</xdr:row>
          <xdr:rowOff>38100</xdr:rowOff>
        </xdr:from>
        <xdr:to>
          <xdr:col>13</xdr:col>
          <xdr:colOff>1054100</xdr:colOff>
          <xdr:row>4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12700</xdr:rowOff>
        </xdr:from>
        <xdr:to>
          <xdr:col>8</xdr:col>
          <xdr:colOff>76200</xdr:colOff>
          <xdr:row>4</xdr:row>
          <xdr:rowOff>12700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5</xdr:row>
          <xdr:rowOff>25400</xdr:rowOff>
        </xdr:from>
        <xdr:to>
          <xdr:col>8</xdr:col>
          <xdr:colOff>88900</xdr:colOff>
          <xdr:row>7</xdr:row>
          <xdr:rowOff>25400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</xdr:row>
          <xdr:rowOff>101600</xdr:rowOff>
        </xdr:from>
        <xdr:to>
          <xdr:col>14</xdr:col>
          <xdr:colOff>571500</xdr:colOff>
          <xdr:row>3</xdr:row>
          <xdr:rowOff>50800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Build Matrix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4" Type="http://schemas.openxmlformats.org/officeDocument/2006/relationships/comments" Target="../comments1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4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J28"/>
  <sheetViews>
    <sheetView tabSelected="1" workbookViewId="0">
      <selection activeCell="C6" sqref="C6"/>
    </sheetView>
  </sheetViews>
  <sheetFormatPr baseColWidth="10" defaultRowHeight="14" x14ac:dyDescent="0"/>
  <cols>
    <col min="1" max="1" width="10.83203125" customWidth="1"/>
  </cols>
  <sheetData>
    <row r="1" spans="1:10" ht="28">
      <c r="A1" s="18" t="s">
        <v>51</v>
      </c>
    </row>
    <row r="3" spans="1:10">
      <c r="A3" s="17" t="s">
        <v>22</v>
      </c>
      <c r="B3" s="17" t="s">
        <v>43</v>
      </c>
      <c r="C3" s="17" t="s">
        <v>42</v>
      </c>
      <c r="D3" s="17" t="s">
        <v>50</v>
      </c>
      <c r="G3" s="17" t="s">
        <v>22</v>
      </c>
      <c r="H3" s="17" t="s">
        <v>40</v>
      </c>
      <c r="I3" s="17" t="s">
        <v>41</v>
      </c>
      <c r="J3" s="17" t="s">
        <v>42</v>
      </c>
    </row>
    <row r="4" spans="1:10">
      <c r="A4" s="5" t="s">
        <v>54</v>
      </c>
      <c r="B4" s="5" t="s">
        <v>99</v>
      </c>
      <c r="C4" s="5" t="s">
        <v>57</v>
      </c>
      <c r="D4" s="5" t="s">
        <v>56</v>
      </c>
      <c r="G4" s="5" t="s">
        <v>54</v>
      </c>
      <c r="H4" s="5" t="s">
        <v>55</v>
      </c>
      <c r="I4" s="5" t="s">
        <v>61</v>
      </c>
      <c r="J4" s="5" t="s">
        <v>57</v>
      </c>
    </row>
    <row r="5" spans="1:10">
      <c r="A5" s="5" t="s">
        <v>54</v>
      </c>
      <c r="B5" s="5" t="s">
        <v>99</v>
      </c>
      <c r="C5" s="5" t="s">
        <v>58</v>
      </c>
      <c r="D5" s="5" t="s">
        <v>97</v>
      </c>
      <c r="G5" s="5" t="s">
        <v>54</v>
      </c>
      <c r="H5" s="5" t="s">
        <v>55</v>
      </c>
      <c r="I5" s="5" t="s">
        <v>62</v>
      </c>
      <c r="J5" s="5" t="s">
        <v>57</v>
      </c>
    </row>
    <row r="6" spans="1:10">
      <c r="A6" s="5" t="s">
        <v>98</v>
      </c>
      <c r="B6" s="5" t="s">
        <v>98</v>
      </c>
      <c r="C6" s="5" t="s">
        <v>69</v>
      </c>
      <c r="D6" s="5"/>
      <c r="G6" s="5" t="s">
        <v>98</v>
      </c>
      <c r="H6" s="5" t="s">
        <v>100</v>
      </c>
      <c r="I6" s="5" t="s">
        <v>69</v>
      </c>
      <c r="J6" s="5" t="s">
        <v>69</v>
      </c>
    </row>
    <row r="7" spans="1:10">
      <c r="A7" s="5" t="s">
        <v>98</v>
      </c>
      <c r="B7" s="5" t="s">
        <v>98</v>
      </c>
      <c r="C7" s="5" t="s">
        <v>70</v>
      </c>
      <c r="D7" s="5"/>
      <c r="G7" s="5" t="s">
        <v>98</v>
      </c>
      <c r="H7" s="5" t="s">
        <v>100</v>
      </c>
      <c r="I7" s="5" t="s">
        <v>70</v>
      </c>
      <c r="J7" s="5" t="s">
        <v>70</v>
      </c>
    </row>
    <row r="8" spans="1:10">
      <c r="A8" s="5"/>
      <c r="B8" s="5"/>
      <c r="C8" s="5"/>
      <c r="D8" s="5"/>
      <c r="G8" s="5"/>
      <c r="H8" s="5"/>
      <c r="I8" s="5"/>
      <c r="J8" s="5"/>
    </row>
    <row r="9" spans="1:10">
      <c r="A9" s="5"/>
      <c r="B9" s="5"/>
      <c r="C9" s="5"/>
      <c r="D9" s="5"/>
      <c r="G9" s="5"/>
      <c r="H9" s="5"/>
      <c r="I9" s="5"/>
      <c r="J9" s="5"/>
    </row>
    <row r="10" spans="1:10">
      <c r="A10" s="5"/>
      <c r="B10" s="5"/>
      <c r="C10" s="5"/>
      <c r="D10" s="5"/>
      <c r="G10" s="5"/>
      <c r="H10" s="5"/>
      <c r="I10" s="5"/>
      <c r="J10" s="5"/>
    </row>
    <row r="11" spans="1:10">
      <c r="A11" s="5"/>
      <c r="B11" s="5"/>
      <c r="C11" s="5"/>
      <c r="D11" s="5"/>
      <c r="G11" s="5"/>
      <c r="H11" s="5"/>
      <c r="I11" s="5"/>
      <c r="J11" s="5"/>
    </row>
    <row r="12" spans="1:10">
      <c r="A12" s="5"/>
      <c r="B12" s="5"/>
      <c r="C12" s="5"/>
      <c r="D12" s="5"/>
      <c r="G12" s="5"/>
      <c r="H12" s="5"/>
      <c r="I12" s="5"/>
      <c r="J12" s="5"/>
    </row>
    <row r="13" spans="1:10">
      <c r="A13" s="5"/>
      <c r="B13" s="5"/>
      <c r="C13" s="5"/>
      <c r="D13" s="5"/>
      <c r="G13" s="5"/>
      <c r="H13" s="5"/>
      <c r="I13" s="5"/>
      <c r="J13" s="5"/>
    </row>
    <row r="14" spans="1:10">
      <c r="A14" s="5"/>
      <c r="B14" s="5"/>
      <c r="C14" s="5"/>
      <c r="D14" s="5"/>
      <c r="G14" s="5"/>
      <c r="H14" s="5"/>
      <c r="I14" s="5"/>
      <c r="J14" s="5"/>
    </row>
    <row r="15" spans="1:10">
      <c r="A15" s="5"/>
      <c r="B15" s="5"/>
      <c r="C15" s="5"/>
      <c r="D15" s="5"/>
      <c r="G15" s="5"/>
      <c r="H15" s="5"/>
      <c r="I15" s="5"/>
      <c r="J15" s="5"/>
    </row>
    <row r="16" spans="1:10">
      <c r="A16" s="5"/>
      <c r="B16" s="5"/>
      <c r="C16" s="5"/>
      <c r="D16" s="5"/>
      <c r="G16" s="5"/>
      <c r="H16" s="5"/>
      <c r="I16" s="5"/>
      <c r="J16" s="5"/>
    </row>
    <row r="17" spans="1:7">
      <c r="A17" t="s">
        <v>59</v>
      </c>
      <c r="G17" t="s">
        <v>60</v>
      </c>
    </row>
    <row r="27" spans="1:7">
      <c r="A27" s="19" t="s">
        <v>119</v>
      </c>
    </row>
    <row r="28" spans="1:7">
      <c r="A28" t="s">
        <v>120</v>
      </c>
      <c r="B28" t="s">
        <v>12</v>
      </c>
    </row>
  </sheetData>
  <dataValidations count="1">
    <dataValidation type="list" allowBlank="1" showInputMessage="1" showErrorMessage="1" sqref="J4:J16">
      <formula1>$C$4:$C$16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NP_Click">
                <anchor moveWithCells="1" sizeWithCells="1">
                  <from>
                    <xdr:col>11</xdr:col>
                    <xdr:colOff>25400</xdr:colOff>
                    <xdr:row>2</xdr:row>
                    <xdr:rowOff>25400</xdr:rowOff>
                  </from>
                  <to>
                    <xdr:col>12</xdr:col>
                    <xdr:colOff>330200</xdr:colOff>
                    <xdr:row>4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howCredentials_Click">
                <anchor moveWithCells="1" sizeWithCells="1">
                  <from>
                    <xdr:col>0</xdr:col>
                    <xdr:colOff>203200</xdr:colOff>
                    <xdr:row>21</xdr:row>
                    <xdr:rowOff>76200</xdr:rowOff>
                  </from>
                  <to>
                    <xdr:col>2</xdr:col>
                    <xdr:colOff>482600</xdr:colOff>
                    <xdr:row>23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EnterCredentials_Click">
                <anchor moveWithCells="1" sizeWithCells="1">
                  <from>
                    <xdr:col>0</xdr:col>
                    <xdr:colOff>203200</xdr:colOff>
                    <xdr:row>19</xdr:row>
                    <xdr:rowOff>38100</xdr:rowOff>
                  </from>
                  <to>
                    <xdr:col>2</xdr:col>
                    <xdr:colOff>482600</xdr:colOff>
                    <xdr:row>21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Q35"/>
  <sheetViews>
    <sheetView workbookViewId="0">
      <selection activeCell="B6" sqref="B6"/>
    </sheetView>
  </sheetViews>
  <sheetFormatPr baseColWidth="10" defaultRowHeight="14" x14ac:dyDescent="0"/>
  <cols>
    <col min="1" max="1" width="10.5" customWidth="1"/>
    <col min="10" max="10" width="12" customWidth="1"/>
    <col min="12" max="12" width="9.6640625" customWidth="1"/>
  </cols>
  <sheetData>
    <row r="1" spans="1:14" ht="9" customHeight="1"/>
    <row r="2" spans="1:14" ht="28">
      <c r="A2" s="18" t="s">
        <v>52</v>
      </c>
    </row>
    <row r="4" spans="1:14">
      <c r="A4" s="17" t="s">
        <v>32</v>
      </c>
      <c r="B4" s="17" t="s">
        <v>33</v>
      </c>
      <c r="C4" s="17" t="s">
        <v>35</v>
      </c>
      <c r="D4" s="17" t="s">
        <v>36</v>
      </c>
      <c r="E4" s="17" t="s">
        <v>37</v>
      </c>
      <c r="F4" s="17" t="s">
        <v>34</v>
      </c>
      <c r="G4" s="17" t="s">
        <v>38</v>
      </c>
      <c r="H4" s="17" t="s">
        <v>36</v>
      </c>
      <c r="I4" s="17" t="s">
        <v>37</v>
      </c>
      <c r="J4" s="21" t="s">
        <v>103</v>
      </c>
      <c r="K4" s="21" t="s">
        <v>28</v>
      </c>
      <c r="N4" t="s">
        <v>12</v>
      </c>
    </row>
    <row r="5" spans="1:14">
      <c r="A5" s="5">
        <v>1</v>
      </c>
      <c r="B5" s="5">
        <v>201</v>
      </c>
      <c r="C5" s="5" t="s">
        <v>14</v>
      </c>
      <c r="D5" s="5"/>
      <c r="E5" s="5"/>
      <c r="F5" s="5">
        <v>202</v>
      </c>
      <c r="G5" s="5" t="s">
        <v>14</v>
      </c>
      <c r="H5" s="5"/>
      <c r="I5" s="5"/>
      <c r="J5" s="11" t="str">
        <f>B5&amp;"-"&amp;F5</f>
        <v>201-202</v>
      </c>
      <c r="K5" s="11" t="str">
        <f>IF(C5="No","N/A",D5&amp;"-"&amp;H5)</f>
        <v>N/A</v>
      </c>
      <c r="N5" t="s">
        <v>14</v>
      </c>
    </row>
    <row r="6" spans="1:14">
      <c r="A6" s="5">
        <v>2</v>
      </c>
      <c r="B6" s="5">
        <v>101</v>
      </c>
      <c r="C6" s="5" t="s">
        <v>12</v>
      </c>
      <c r="D6" s="5">
        <v>201</v>
      </c>
      <c r="E6" s="5" t="s">
        <v>63</v>
      </c>
      <c r="F6" s="5">
        <v>102</v>
      </c>
      <c r="G6" s="5" t="s">
        <v>12</v>
      </c>
      <c r="H6" s="5">
        <v>202</v>
      </c>
      <c r="I6" s="5" t="s">
        <v>63</v>
      </c>
      <c r="J6" s="11" t="str">
        <f>B6&amp;"-"&amp;F6</f>
        <v>101-102</v>
      </c>
      <c r="K6" s="11" t="str">
        <f>IF(C6="No","N/A",D6&amp;"-"&amp;H6)</f>
        <v>201-202</v>
      </c>
    </row>
    <row r="7" spans="1:14">
      <c r="A7" s="5"/>
      <c r="B7" s="5"/>
      <c r="C7" s="5"/>
      <c r="D7" s="5"/>
      <c r="E7" s="5"/>
      <c r="F7" s="5"/>
      <c r="G7" s="5"/>
      <c r="H7" s="5"/>
      <c r="I7" s="5"/>
      <c r="J7" s="11"/>
      <c r="K7" s="11"/>
    </row>
    <row r="8" spans="1:14">
      <c r="A8" s="5"/>
      <c r="B8" s="5"/>
      <c r="C8" s="5"/>
      <c r="D8" s="5"/>
      <c r="E8" s="5"/>
      <c r="F8" s="5"/>
      <c r="G8" s="5"/>
      <c r="H8" s="5"/>
      <c r="I8" s="5"/>
      <c r="J8" s="11"/>
      <c r="K8" s="11"/>
      <c r="L8" s="40" t="s">
        <v>39</v>
      </c>
      <c r="M8" s="40"/>
      <c r="N8" s="40"/>
    </row>
    <row r="9" spans="1:14">
      <c r="A9" s="5"/>
      <c r="B9" s="5"/>
      <c r="C9" s="5"/>
      <c r="D9" s="5"/>
      <c r="E9" s="5"/>
      <c r="F9" s="5"/>
      <c r="G9" s="5"/>
      <c r="H9" s="5"/>
      <c r="I9" s="5"/>
      <c r="J9" s="11"/>
      <c r="K9" s="11"/>
      <c r="L9" s="40"/>
      <c r="M9" s="40"/>
      <c r="N9" s="40"/>
    </row>
    <row r="10" spans="1:14">
      <c r="A10" s="5"/>
      <c r="B10" s="5"/>
      <c r="C10" s="5"/>
      <c r="D10" s="5"/>
      <c r="E10" s="5"/>
      <c r="F10" s="5"/>
      <c r="G10" s="5"/>
      <c r="H10" s="5"/>
      <c r="I10" s="5"/>
      <c r="J10" s="11"/>
      <c r="K10" s="11"/>
      <c r="L10" s="40"/>
      <c r="M10" s="40"/>
      <c r="N10" s="40"/>
    </row>
    <row r="11" spans="1:14">
      <c r="A11" s="5"/>
      <c r="B11" s="5"/>
      <c r="C11" s="5"/>
      <c r="D11" s="5"/>
      <c r="E11" s="5"/>
      <c r="F11" s="5"/>
      <c r="G11" s="5"/>
      <c r="H11" s="5"/>
      <c r="I11" s="5"/>
      <c r="J11" s="11"/>
      <c r="K11" s="11"/>
    </row>
    <row r="12" spans="1:14">
      <c r="A12" s="5"/>
      <c r="B12" s="5"/>
      <c r="C12" s="5"/>
      <c r="D12" s="5"/>
      <c r="E12" s="5"/>
      <c r="F12" s="5"/>
      <c r="G12" s="5"/>
      <c r="H12" s="5"/>
      <c r="I12" s="5"/>
      <c r="J12" s="11"/>
      <c r="K12" s="11"/>
    </row>
    <row r="13" spans="1:14">
      <c r="A13" s="5"/>
      <c r="B13" s="5"/>
      <c r="C13" s="5"/>
      <c r="D13" s="5"/>
      <c r="E13" s="5"/>
      <c r="F13" s="5"/>
      <c r="G13" s="5"/>
      <c r="H13" s="5"/>
      <c r="I13" s="5"/>
      <c r="J13" s="11"/>
      <c r="K13" s="11"/>
    </row>
    <row r="14" spans="1:14">
      <c r="A14" s="5"/>
      <c r="B14" s="5"/>
      <c r="C14" s="5"/>
      <c r="D14" s="5"/>
      <c r="E14" s="5"/>
      <c r="F14" s="5"/>
      <c r="G14" s="5"/>
      <c r="H14" s="5"/>
      <c r="I14" s="5"/>
      <c r="J14" s="11"/>
      <c r="K14" s="11"/>
    </row>
    <row r="15" spans="1:14">
      <c r="B15" t="s">
        <v>64</v>
      </c>
    </row>
    <row r="19" spans="1:17">
      <c r="A19" s="23" t="s">
        <v>95</v>
      </c>
      <c r="B19" s="11"/>
      <c r="C19" s="11"/>
      <c r="D19" s="11"/>
      <c r="E19" s="28" t="s">
        <v>96</v>
      </c>
      <c r="F19" s="11"/>
      <c r="G19" s="11"/>
      <c r="H19" s="11"/>
      <c r="I19" s="11"/>
      <c r="J19" s="11"/>
      <c r="K19" s="28" t="s">
        <v>91</v>
      </c>
      <c r="L19" s="11"/>
      <c r="M19" s="11"/>
      <c r="N19" s="11"/>
      <c r="O19" s="11"/>
      <c r="P19" s="11"/>
      <c r="Q19" s="11"/>
    </row>
    <row r="20" spans="1:17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24"/>
      <c r="L20" s="11"/>
      <c r="M20" s="11"/>
      <c r="N20" s="11"/>
      <c r="O20" s="11"/>
      <c r="P20" s="11"/>
      <c r="Q20" s="11"/>
    </row>
    <row r="21" spans="1:17">
      <c r="A21" s="21" t="s">
        <v>10</v>
      </c>
      <c r="B21" s="21" t="s">
        <v>11</v>
      </c>
      <c r="C21" s="21" t="s">
        <v>76</v>
      </c>
      <c r="D21" s="11"/>
      <c r="E21" s="5"/>
      <c r="F21" s="17" t="s">
        <v>10</v>
      </c>
      <c r="G21" s="17" t="s">
        <v>11</v>
      </c>
      <c r="H21" s="17" t="s">
        <v>76</v>
      </c>
      <c r="I21" s="17" t="s">
        <v>93</v>
      </c>
      <c r="J21" s="11"/>
      <c r="K21" s="17" t="s">
        <v>92</v>
      </c>
      <c r="L21" s="17" t="s">
        <v>85</v>
      </c>
      <c r="M21" s="5" t="s">
        <v>86</v>
      </c>
      <c r="N21" s="11"/>
      <c r="O21" s="11"/>
      <c r="P21" s="11"/>
      <c r="Q21" s="11"/>
    </row>
    <row r="22" spans="1:17">
      <c r="A22" s="11" t="s">
        <v>18</v>
      </c>
      <c r="B22" s="11" t="s">
        <v>19</v>
      </c>
      <c r="C22" s="11" t="s">
        <v>77</v>
      </c>
      <c r="D22" s="11"/>
      <c r="E22" s="17" t="s">
        <v>13</v>
      </c>
      <c r="F22" s="27" t="s">
        <v>18</v>
      </c>
      <c r="G22" s="27" t="s">
        <v>19</v>
      </c>
      <c r="H22" s="27" t="s">
        <v>79</v>
      </c>
      <c r="I22" s="5" t="s">
        <v>20</v>
      </c>
      <c r="J22" s="11"/>
      <c r="K22" s="5" t="s">
        <v>20</v>
      </c>
      <c r="L22" s="5">
        <v>1</v>
      </c>
      <c r="M22" s="5">
        <v>99</v>
      </c>
      <c r="N22" s="11"/>
      <c r="O22" s="11"/>
      <c r="P22" s="11"/>
      <c r="Q22" s="11"/>
    </row>
    <row r="23" spans="1:17">
      <c r="A23" s="22" t="s">
        <v>74</v>
      </c>
      <c r="B23" s="11" t="s">
        <v>75</v>
      </c>
      <c r="C23" s="11" t="s">
        <v>78</v>
      </c>
      <c r="D23" s="11"/>
      <c r="E23" s="17" t="s">
        <v>83</v>
      </c>
      <c r="F23" s="27" t="s">
        <v>18</v>
      </c>
      <c r="G23" s="27" t="s">
        <v>19</v>
      </c>
      <c r="H23" s="27" t="s">
        <v>80</v>
      </c>
      <c r="I23" s="5" t="s">
        <v>20</v>
      </c>
      <c r="J23" s="11"/>
      <c r="K23" s="5"/>
      <c r="L23" s="5"/>
      <c r="M23" s="5"/>
      <c r="N23" s="11"/>
      <c r="O23" s="11"/>
      <c r="P23" s="11"/>
      <c r="Q23" s="11"/>
    </row>
    <row r="24" spans="1:17">
      <c r="A24" s="11"/>
      <c r="B24" s="11"/>
      <c r="C24" s="11" t="s">
        <v>79</v>
      </c>
      <c r="D24" s="11"/>
      <c r="E24" s="17" t="s">
        <v>15</v>
      </c>
      <c r="F24" s="27" t="s">
        <v>18</v>
      </c>
      <c r="G24" s="27" t="s">
        <v>19</v>
      </c>
      <c r="H24" s="27" t="s">
        <v>77</v>
      </c>
      <c r="I24" s="5" t="s">
        <v>20</v>
      </c>
      <c r="J24" s="11"/>
      <c r="K24" s="5"/>
      <c r="L24" s="5"/>
      <c r="M24" s="5"/>
      <c r="N24" s="11"/>
      <c r="O24" s="11"/>
      <c r="P24" s="11"/>
      <c r="Q24" s="11"/>
    </row>
    <row r="25" spans="1:17">
      <c r="A25" s="11"/>
      <c r="B25" s="11"/>
      <c r="C25" s="11" t="s">
        <v>80</v>
      </c>
      <c r="D25" s="11"/>
      <c r="E25" s="17" t="s">
        <v>84</v>
      </c>
      <c r="F25" s="27" t="s">
        <v>18</v>
      </c>
      <c r="G25" s="27" t="s">
        <v>19</v>
      </c>
      <c r="H25" s="27" t="s">
        <v>78</v>
      </c>
      <c r="I25" s="5" t="s">
        <v>20</v>
      </c>
      <c r="J25" s="11"/>
      <c r="K25" s="5"/>
      <c r="L25" s="5"/>
      <c r="M25" s="5"/>
      <c r="N25" s="11"/>
      <c r="O25" s="11"/>
      <c r="P25" s="11"/>
      <c r="Q25" s="11"/>
    </row>
    <row r="26" spans="1:17">
      <c r="A26" s="11"/>
      <c r="B26" s="11"/>
      <c r="C26" s="11" t="s">
        <v>81</v>
      </c>
      <c r="D26" s="11"/>
      <c r="E26" s="17" t="s">
        <v>94</v>
      </c>
      <c r="F26" s="27" t="s">
        <v>74</v>
      </c>
      <c r="G26" s="27" t="s">
        <v>19</v>
      </c>
      <c r="H26" s="27" t="s">
        <v>81</v>
      </c>
      <c r="I26" s="5" t="s">
        <v>20</v>
      </c>
      <c r="J26" s="11"/>
      <c r="K26" s="5"/>
      <c r="L26" s="5"/>
      <c r="M26" s="5"/>
      <c r="N26" s="11"/>
      <c r="O26" s="11"/>
      <c r="P26" s="11"/>
      <c r="Q26" s="11"/>
    </row>
    <row r="27" spans="1:17">
      <c r="A27" s="11"/>
      <c r="B27" s="11"/>
      <c r="C27" s="11" t="s">
        <v>82</v>
      </c>
      <c r="D27" s="11"/>
      <c r="E27" s="17" t="s">
        <v>82</v>
      </c>
      <c r="F27" s="27" t="s">
        <v>74</v>
      </c>
      <c r="G27" s="27" t="s">
        <v>19</v>
      </c>
      <c r="H27" s="27" t="s">
        <v>82</v>
      </c>
      <c r="I27" s="5" t="s">
        <v>20</v>
      </c>
      <c r="J27" s="11"/>
      <c r="K27" s="5"/>
      <c r="L27" s="5"/>
      <c r="M27" s="5"/>
      <c r="N27" s="11"/>
      <c r="O27" s="11"/>
      <c r="P27" s="11"/>
      <c r="Q27" s="11"/>
    </row>
    <row r="28" spans="1:17">
      <c r="A28" s="11"/>
      <c r="B28" s="11"/>
      <c r="C28" s="11"/>
      <c r="D28" s="11"/>
      <c r="E28" s="5"/>
      <c r="F28" s="5"/>
      <c r="G28" s="5"/>
      <c r="H28" s="5"/>
      <c r="I28" s="5"/>
      <c r="J28" s="11"/>
      <c r="K28" s="5"/>
      <c r="L28" s="5"/>
      <c r="M28" s="5"/>
      <c r="N28" s="11"/>
      <c r="O28" s="11"/>
      <c r="P28" s="11"/>
      <c r="Q28" s="11"/>
    </row>
    <row r="29" spans="1:17">
      <c r="A29" s="11"/>
      <c r="B29" s="11"/>
      <c r="C29" s="11"/>
      <c r="D29" s="11"/>
      <c r="E29" s="5"/>
      <c r="F29" s="5"/>
      <c r="G29" s="5"/>
      <c r="H29" s="5"/>
      <c r="I29" s="5"/>
      <c r="J29" s="11"/>
      <c r="K29" s="5"/>
      <c r="L29" s="5"/>
      <c r="M29" s="5"/>
      <c r="N29" s="11"/>
      <c r="O29" s="11"/>
      <c r="P29" s="11"/>
      <c r="Q29" s="11"/>
    </row>
    <row r="30" spans="1:17">
      <c r="A30" s="11"/>
      <c r="B30" s="11"/>
      <c r="C30" s="11"/>
      <c r="D30" s="11"/>
      <c r="E30" s="5"/>
      <c r="F30" s="5"/>
      <c r="G30" s="5"/>
      <c r="H30" s="5"/>
      <c r="I30" s="5"/>
      <c r="J30" s="11"/>
      <c r="K30" s="5"/>
      <c r="L30" s="5"/>
      <c r="M30" s="5"/>
      <c r="N30" s="11"/>
      <c r="O30" s="11"/>
      <c r="P30" s="11"/>
      <c r="Q30" s="11"/>
    </row>
    <row r="31" spans="1:17">
      <c r="A31" s="11"/>
      <c r="B31" s="11"/>
      <c r="C31" s="11"/>
      <c r="D31" s="11"/>
      <c r="E31" s="5"/>
      <c r="F31" s="5"/>
      <c r="G31" s="5"/>
      <c r="H31" s="5"/>
      <c r="I31" s="5"/>
      <c r="J31" s="11"/>
      <c r="K31" s="5"/>
      <c r="L31" s="5"/>
      <c r="M31" s="5"/>
      <c r="N31" s="11"/>
      <c r="O31" s="11"/>
      <c r="P31" s="11"/>
      <c r="Q31" s="11"/>
    </row>
    <row r="32" spans="1:17">
      <c r="A32" s="11"/>
      <c r="B32" s="11"/>
      <c r="C32" s="11"/>
      <c r="D32" s="11"/>
      <c r="E32" s="5"/>
      <c r="F32" s="5"/>
      <c r="G32" s="5"/>
      <c r="H32" s="5"/>
      <c r="I32" s="5"/>
      <c r="J32" s="11"/>
      <c r="K32" s="5"/>
      <c r="L32" s="5"/>
      <c r="M32" s="5"/>
      <c r="N32" s="11"/>
      <c r="O32" s="11"/>
      <c r="P32" s="11"/>
      <c r="Q32" s="11"/>
    </row>
    <row r="33" spans="1:17">
      <c r="A33" s="11"/>
      <c r="B33" s="11"/>
      <c r="C33" s="11"/>
      <c r="D33" s="11"/>
      <c r="E33" s="5"/>
      <c r="F33" s="5"/>
      <c r="G33" s="5"/>
      <c r="H33" s="5"/>
      <c r="I33" s="5"/>
      <c r="J33" s="11"/>
      <c r="K33" s="5"/>
      <c r="L33" s="5"/>
      <c r="M33" s="5"/>
      <c r="N33" s="11"/>
      <c r="O33" s="11"/>
      <c r="P33" s="11"/>
      <c r="Q33" s="11"/>
    </row>
    <row r="34" spans="1:17">
      <c r="A34" s="11"/>
      <c r="B34" s="11"/>
      <c r="C34" s="11"/>
      <c r="D34" s="11"/>
      <c r="E34" s="5"/>
      <c r="F34" s="5"/>
      <c r="G34" s="5"/>
      <c r="H34" s="5"/>
      <c r="I34" s="5"/>
      <c r="J34" s="11"/>
      <c r="K34" s="5"/>
      <c r="L34" s="5"/>
      <c r="M34" s="5"/>
      <c r="N34" s="11"/>
      <c r="O34" s="11"/>
      <c r="P34" s="11"/>
      <c r="Q34" s="11"/>
    </row>
    <row r="35" spans="1:17">
      <c r="A35" s="11"/>
      <c r="B35" s="11"/>
      <c r="C35" s="11"/>
      <c r="D35" s="11"/>
      <c r="E35" s="5"/>
      <c r="F35" s="5"/>
      <c r="G35" s="5"/>
      <c r="H35" s="5"/>
      <c r="I35" s="5"/>
      <c r="J35" s="11"/>
      <c r="K35" s="5"/>
      <c r="L35" s="5"/>
      <c r="M35" s="5"/>
      <c r="N35" s="11"/>
      <c r="O35" s="11"/>
      <c r="P35" s="11"/>
      <c r="Q35" s="11"/>
    </row>
  </sheetData>
  <mergeCells count="1">
    <mergeCell ref="L8:N10"/>
  </mergeCells>
  <conditionalFormatting sqref="H5:I14">
    <cfRule type="expression" dxfId="4" priority="6">
      <formula>($G5="No")</formula>
    </cfRule>
  </conditionalFormatting>
  <conditionalFormatting sqref="I5">
    <cfRule type="expression" dxfId="3" priority="5">
      <formula>($G$5="No")</formula>
    </cfRule>
  </conditionalFormatting>
  <conditionalFormatting sqref="D5:E14">
    <cfRule type="expression" dxfId="2" priority="4">
      <formula>($G5="No")</formula>
    </cfRule>
  </conditionalFormatting>
  <dataValidations count="5">
    <dataValidation type="list" allowBlank="1" showInputMessage="1" showErrorMessage="1" sqref="C5:C14 G5:G14">
      <formula1>$N$4:$N$5</formula1>
    </dataValidation>
    <dataValidation type="list" allowBlank="1" showInputMessage="1" showErrorMessage="1" sqref="F22:F27">
      <formula1>$A$22:$A$23</formula1>
    </dataValidation>
    <dataValidation type="list" allowBlank="1" showInputMessage="1" showErrorMessage="1" sqref="G22:G27">
      <formula1>$B$22:$B$23</formula1>
    </dataValidation>
    <dataValidation type="list" allowBlank="1" showInputMessage="1" showErrorMessage="1" sqref="H22:H27">
      <formula1>$C$22:$C$27</formula1>
    </dataValidation>
    <dataValidation type="list" allowBlank="1" showInputMessage="1" showErrorMessage="1" sqref="I22:I27">
      <formula1>$K$22:$K$26</formula1>
    </dataValidation>
  </dataValidations>
  <pageMargins left="0.75" right="0.75" top="1" bottom="1" header="0.5" footer="0.5"/>
  <pageSetup paperSize="9" orientation="portrait" horizontalDpi="4294967292" verticalDpi="4294967292"/>
  <ignoredErrors>
    <ignoredError sqref="K5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nit_Click">
                <anchor moveWithCells="1" sizeWithCells="1">
                  <from>
                    <xdr:col>11</xdr:col>
                    <xdr:colOff>165100</xdr:colOff>
                    <xdr:row>2</xdr:row>
                    <xdr:rowOff>0</xdr:rowOff>
                  </from>
                  <to>
                    <xdr:col>12</xdr:col>
                    <xdr:colOff>431800</xdr:colOff>
                    <xdr:row>4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V30"/>
  <sheetViews>
    <sheetView workbookViewId="0">
      <selection activeCell="A8" sqref="A8"/>
    </sheetView>
  </sheetViews>
  <sheetFormatPr baseColWidth="10" defaultColWidth="9.1640625" defaultRowHeight="18" customHeight="1" x14ac:dyDescent="0"/>
  <cols>
    <col min="1" max="1" width="11.33203125" style="1" customWidth="1"/>
    <col min="2" max="2" width="9.1640625" style="1"/>
    <col min="3" max="3" width="12.6640625" style="1" customWidth="1"/>
    <col min="4" max="5" width="9.1640625" style="1"/>
    <col min="6" max="6" width="11.33203125" style="1" customWidth="1"/>
    <col min="7" max="7" width="15.5" style="1" customWidth="1"/>
    <col min="8" max="8" width="9.1640625" style="1"/>
    <col min="9" max="9" width="13.33203125" style="1" customWidth="1"/>
    <col min="10" max="10" width="10.5" style="1" bestFit="1" customWidth="1"/>
    <col min="11" max="11" width="11.83203125" style="1" customWidth="1"/>
    <col min="12" max="12" width="9.1640625" style="1"/>
    <col min="13" max="13" width="11.33203125" style="1" customWidth="1"/>
    <col min="14" max="14" width="17.6640625" style="1" customWidth="1"/>
    <col min="15" max="18" width="9.1640625" style="1"/>
    <col min="19" max="19" width="17" style="1" customWidth="1"/>
    <col min="20" max="20" width="12.83203125" style="1" customWidth="1"/>
    <col min="21" max="16384" width="9.1640625" style="1"/>
  </cols>
  <sheetData>
    <row r="1" spans="1:22" ht="44" customHeight="1">
      <c r="A1" s="20" t="s">
        <v>53</v>
      </c>
      <c r="O1" s="16"/>
      <c r="P1" s="8"/>
      <c r="Q1" s="8"/>
      <c r="R1" s="8"/>
      <c r="S1" s="8"/>
      <c r="T1" s="8"/>
      <c r="U1" s="8"/>
      <c r="V1" s="8"/>
    </row>
    <row r="2" spans="1:22" ht="18" customHeight="1">
      <c r="A2" s="2" t="s">
        <v>0</v>
      </c>
      <c r="B2" s="2" t="s">
        <v>1</v>
      </c>
      <c r="C2" s="2" t="s">
        <v>2</v>
      </c>
      <c r="D2" s="2" t="s">
        <v>3</v>
      </c>
      <c r="E2" s="2" t="s">
        <v>9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28</v>
      </c>
      <c r="K2" s="2" t="s">
        <v>8</v>
      </c>
      <c r="L2" s="2" t="s">
        <v>21</v>
      </c>
      <c r="M2" s="2" t="s">
        <v>30</v>
      </c>
      <c r="N2"/>
      <c r="O2" s="29"/>
      <c r="P2" s="29"/>
      <c r="Q2" s="29"/>
      <c r="R2" s="32"/>
      <c r="S2" s="29"/>
      <c r="T2" s="8"/>
      <c r="U2" s="8"/>
      <c r="V2" s="8"/>
    </row>
    <row r="3" spans="1:22" ht="18" customHeight="1">
      <c r="A3" s="5">
        <v>2</v>
      </c>
      <c r="B3" s="5">
        <v>48</v>
      </c>
      <c r="C3" s="5" t="s">
        <v>65</v>
      </c>
      <c r="D3" s="5" t="s">
        <v>88</v>
      </c>
      <c r="E3" s="6" t="s">
        <v>79</v>
      </c>
      <c r="F3" s="5" t="s">
        <v>20</v>
      </c>
      <c r="G3" s="31" t="str">
        <f t="array" ref="G3">IF(D3="Yes","N/A",INDEX(Init!$E$22:$E$27,MATCH(E3&amp;F3,Init!$H$22:$H$27&amp;Init!$I$22:$I$27,0)))</f>
        <v>1G</v>
      </c>
      <c r="H3" s="3" t="str">
        <f t="shared" ref="H3:H8" si="0">IF(LEN(F3)=0,"default",F3)</f>
        <v>default</v>
      </c>
      <c r="I3" s="3" t="str">
        <f t="array" ref="I3">LOOKUP(A3,Init!$A$5:$A$14,Init!$J$5:$J$14)</f>
        <v>101-102</v>
      </c>
      <c r="J3" s="3" t="str">
        <f t="array" ref="J3">LOOKUP(A3,Init!$A$5:$A$14,Init!$K$5:$K$14)</f>
        <v>201-202</v>
      </c>
      <c r="K3" s="3" t="str">
        <f t="shared" ref="K3:K8" si="1">IF(D3="Yes",C3,"N/A")</f>
        <v>N/A</v>
      </c>
      <c r="L3" s="3" t="str">
        <f>IF(D3="Yes",IF(E3=1,"1G-NoNeg","10G-NoNeg"),"N/A")</f>
        <v>N/A</v>
      </c>
      <c r="M3" s="3" t="str">
        <f>IF(AND((LEFT(I3,1)="1"),(E3=10)),"No","Yes")</f>
        <v>Yes</v>
      </c>
      <c r="N3"/>
      <c r="O3" s="33"/>
      <c r="P3" s="9"/>
      <c r="Q3" s="9"/>
      <c r="R3" s="10"/>
      <c r="S3" s="9"/>
      <c r="T3" s="8"/>
      <c r="U3" s="8"/>
      <c r="V3" s="8"/>
    </row>
    <row r="4" spans="1:22" ht="18" customHeight="1">
      <c r="A4" s="5">
        <v>2</v>
      </c>
      <c r="B4" s="5">
        <v>1</v>
      </c>
      <c r="C4" s="5" t="s">
        <v>66</v>
      </c>
      <c r="D4" s="5" t="s">
        <v>14</v>
      </c>
      <c r="E4" s="6" t="s">
        <v>79</v>
      </c>
      <c r="F4" s="5" t="s">
        <v>20</v>
      </c>
      <c r="G4" s="31" t="str">
        <f t="array" ref="G4">IF(D4="Yes","N/A",INDEX(Init!$E$22:$E$27,MATCH(E4&amp;F4,Init!$H$22:$H$27&amp;Init!$I$22:$I$27,0)))</f>
        <v>1G</v>
      </c>
      <c r="H4" s="3" t="str">
        <f t="shared" si="0"/>
        <v>default</v>
      </c>
      <c r="I4" s="3" t="str">
        <f t="array" ref="I4">LOOKUP(A4,Init!$A$5:$A$14,Init!$J$5:$J$14)</f>
        <v>101-102</v>
      </c>
      <c r="J4" s="3" t="str">
        <f t="array" ref="J4">LOOKUP(A4,Init!$A$5:$A$14,Init!$K$5:$K$14)</f>
        <v>201-202</v>
      </c>
      <c r="K4" s="3" t="str">
        <f t="shared" si="1"/>
        <v>N/A</v>
      </c>
      <c r="L4" s="3" t="str">
        <f>IF(D4="Yes",IF(E4=1,"1G-NoNeg","10G-NoNeg"),"N/A")</f>
        <v>N/A</v>
      </c>
      <c r="M4" s="3" t="str">
        <f t="shared" ref="M4:M8" si="2">IF(AND((LEFT(I4,1)="1"),(E4=10)),"No","Yes")</f>
        <v>Yes</v>
      </c>
      <c r="N4"/>
      <c r="O4" s="33"/>
      <c r="P4" s="9"/>
      <c r="Q4" s="9"/>
      <c r="R4" s="10"/>
      <c r="S4" s="9"/>
      <c r="T4" s="8"/>
      <c r="U4" s="8"/>
      <c r="V4" s="8"/>
    </row>
    <row r="5" spans="1:22" ht="18" customHeight="1">
      <c r="A5" s="5">
        <v>2</v>
      </c>
      <c r="B5" s="5">
        <v>3</v>
      </c>
      <c r="C5" s="5" t="s">
        <v>101</v>
      </c>
      <c r="D5" s="5" t="s">
        <v>14</v>
      </c>
      <c r="E5" s="6" t="s">
        <v>79</v>
      </c>
      <c r="F5" s="5" t="s">
        <v>20</v>
      </c>
      <c r="G5" s="31" t="str">
        <f t="array" ref="G5">IF(D5="Yes","N/A",INDEX(Init!$E$22:$E$27,MATCH(E5&amp;F5,Init!$H$22:$H$27&amp;Init!$I$22:$I$27,0)))</f>
        <v>1G</v>
      </c>
      <c r="H5" s="3" t="str">
        <f t="shared" si="0"/>
        <v>default</v>
      </c>
      <c r="I5" s="3" t="str">
        <f t="array" ref="I5">LOOKUP(A5,Init!$A$5:$A$14,Init!$J$5:$J$14)</f>
        <v>101-102</v>
      </c>
      <c r="J5" s="3" t="str">
        <f t="array" ref="J5">LOOKUP(A5,Init!$A$5:$A$14,Init!$K$5:$K$14)</f>
        <v>201-202</v>
      </c>
      <c r="K5" s="3" t="str">
        <f t="shared" si="1"/>
        <v>N/A</v>
      </c>
      <c r="L5" s="3" t="str">
        <f>IF(D5="Yes",IF(E5=1,"1G-NoNeg","10G-NoNeg"),"N/A")</f>
        <v>N/A</v>
      </c>
      <c r="M5" s="3" t="str">
        <f t="shared" si="2"/>
        <v>Yes</v>
      </c>
      <c r="N5"/>
      <c r="O5" s="33"/>
      <c r="P5" s="9"/>
      <c r="Q5" s="9"/>
      <c r="R5" s="10"/>
      <c r="S5" s="9"/>
      <c r="T5" s="8"/>
      <c r="U5" s="8"/>
      <c r="V5" s="8"/>
    </row>
    <row r="6" spans="1:22" ht="18" customHeight="1">
      <c r="A6" s="5">
        <v>2</v>
      </c>
      <c r="B6" s="5">
        <v>4</v>
      </c>
      <c r="C6" s="5" t="s">
        <v>102</v>
      </c>
      <c r="D6" s="5" t="s">
        <v>14</v>
      </c>
      <c r="E6" s="6" t="s">
        <v>79</v>
      </c>
      <c r="F6" s="5" t="s">
        <v>20</v>
      </c>
      <c r="G6" s="31" t="str">
        <f t="array" ref="G6">IF(D6="Yes","N/A",INDEX(Init!$E$22:$E$27,MATCH(E6&amp;F6,Init!$H$22:$H$27&amp;Init!$I$22:$I$27,0)))</f>
        <v>1G</v>
      </c>
      <c r="H6" s="3" t="str">
        <f t="shared" si="0"/>
        <v>default</v>
      </c>
      <c r="I6" s="3" t="str">
        <f t="array" ref="I6">LOOKUP(A6,Init!$A$5:$A$14,Init!$J$5:$J$14)</f>
        <v>101-102</v>
      </c>
      <c r="J6" s="3" t="str">
        <f t="array" ref="J6">LOOKUP(A6,Init!$A$5:$A$14,Init!$K$5:$K$14)</f>
        <v>201-202</v>
      </c>
      <c r="K6" s="3" t="str">
        <f t="shared" si="1"/>
        <v>N/A</v>
      </c>
      <c r="L6" s="3" t="str">
        <f>IF(D6="Yes",IF(E6=1,"1G-NoNeg","10G-NoNeg"),"N/A")</f>
        <v>N/A</v>
      </c>
      <c r="M6" s="3" t="str">
        <f t="shared" si="2"/>
        <v>Yes</v>
      </c>
      <c r="N6"/>
      <c r="O6" s="10"/>
      <c r="P6" s="10"/>
      <c r="Q6" s="10"/>
      <c r="R6" s="10"/>
      <c r="S6" s="10"/>
      <c r="T6" s="8"/>
      <c r="U6" s="8"/>
      <c r="V6" s="8"/>
    </row>
    <row r="7" spans="1:22" ht="18" customHeight="1">
      <c r="A7" s="5">
        <v>1</v>
      </c>
      <c r="B7" s="5">
        <v>3</v>
      </c>
      <c r="C7" s="5" t="s">
        <v>67</v>
      </c>
      <c r="D7" s="5" t="s">
        <v>12</v>
      </c>
      <c r="E7" s="6" t="s">
        <v>77</v>
      </c>
      <c r="F7" s="5" t="s">
        <v>20</v>
      </c>
      <c r="G7" s="31" t="str">
        <f t="array" ref="G7">IF(D7="Yes","N/A",INDEX($S$3:$S$7,MATCH(E7&amp;H7,$O$3:$O$7&amp;$R$3:$R$7,0)))</f>
        <v>N/A</v>
      </c>
      <c r="H7" s="3" t="str">
        <f t="shared" si="0"/>
        <v>default</v>
      </c>
      <c r="I7" s="3" t="str">
        <f t="array" ref="I7">LOOKUP(A7,Init!$A$5:$A$14,Init!$J$5:$J$14)</f>
        <v>201-202</v>
      </c>
      <c r="J7" s="3" t="str">
        <f t="array" ref="J7">LOOKUP(A7,Init!$A$5:$A$14,Init!$K$5:$K$14)</f>
        <v>N/A</v>
      </c>
      <c r="K7" s="3" t="str">
        <f t="shared" si="1"/>
        <v>UCS-FI-A</v>
      </c>
      <c r="L7" s="3" t="str">
        <f>IF(D7="Yes",IF(E7=1,"1G-NoNeg","10G"),"N/A")</f>
        <v>10G</v>
      </c>
      <c r="M7" s="3" t="str">
        <f t="shared" si="2"/>
        <v>Yes</v>
      </c>
      <c r="N7"/>
      <c r="O7" s="33"/>
      <c r="P7" s="9"/>
      <c r="Q7" s="9"/>
      <c r="R7" s="10"/>
      <c r="S7" s="9"/>
      <c r="T7" s="8"/>
      <c r="U7" s="8"/>
      <c r="V7" s="8"/>
    </row>
    <row r="8" spans="1:22" ht="18" customHeight="1">
      <c r="A8" s="5">
        <v>1</v>
      </c>
      <c r="B8" s="5">
        <v>4</v>
      </c>
      <c r="C8" s="5" t="s">
        <v>68</v>
      </c>
      <c r="D8" s="5" t="s">
        <v>12</v>
      </c>
      <c r="E8" s="6" t="s">
        <v>77</v>
      </c>
      <c r="F8" s="5" t="s">
        <v>20</v>
      </c>
      <c r="G8" s="31" t="str">
        <f t="array" ref="G8">IF(D8="Yes","N/A",INDEX($S$3:$S$7,MATCH(E8&amp;H8,$O$3:$O$7&amp;$R$3:$R$7,0)))</f>
        <v>N/A</v>
      </c>
      <c r="H8" s="3" t="str">
        <f t="shared" si="0"/>
        <v>default</v>
      </c>
      <c r="I8" s="3" t="str">
        <f t="array" ref="I8">LOOKUP(A8,Init!$A$5:$A$14,Init!$J$5:$J$14)</f>
        <v>201-202</v>
      </c>
      <c r="J8" s="3" t="str">
        <f t="array" ref="J8">LOOKUP(A8,Init!$A$5:$A$14,Init!$K$5:$K$14)</f>
        <v>N/A</v>
      </c>
      <c r="K8" s="3" t="str">
        <f t="shared" si="1"/>
        <v>UCS-FI-B</v>
      </c>
      <c r="L8" s="3" t="str">
        <f>IF(D8="Yes",IF(E8=1,"1G-NoNeg","10G"),"N/A")</f>
        <v>10G</v>
      </c>
      <c r="M8" s="3" t="str">
        <f t="shared" si="2"/>
        <v>Yes</v>
      </c>
      <c r="N8"/>
      <c r="O8" s="8"/>
      <c r="P8" s="8"/>
      <c r="Q8" s="8"/>
      <c r="R8" s="8"/>
      <c r="S8" s="8"/>
      <c r="T8" s="8"/>
      <c r="U8" s="8"/>
      <c r="V8" s="8"/>
    </row>
    <row r="9" spans="1:22" ht="18" customHeight="1">
      <c r="A9" s="5"/>
      <c r="B9" s="5"/>
      <c r="C9" s="5"/>
      <c r="D9" s="5"/>
      <c r="E9" s="6"/>
      <c r="F9" s="5"/>
      <c r="G9" s="3"/>
      <c r="H9" s="3"/>
      <c r="I9" s="3"/>
      <c r="J9" s="3"/>
      <c r="K9" s="3"/>
      <c r="L9" s="3"/>
      <c r="M9" s="3"/>
      <c r="N9"/>
      <c r="O9" s="8"/>
      <c r="P9" s="8"/>
      <c r="Q9" s="8"/>
      <c r="R9" s="8"/>
      <c r="S9" s="8"/>
      <c r="T9" s="8"/>
      <c r="U9" s="8"/>
      <c r="V9" s="8"/>
    </row>
    <row r="10" spans="1:22" ht="18" customHeight="1">
      <c r="A10" s="5"/>
      <c r="B10" s="5"/>
      <c r="C10" s="5"/>
      <c r="D10" s="5"/>
      <c r="E10" s="5"/>
      <c r="F10" s="5"/>
      <c r="G10" s="3"/>
      <c r="H10" s="3"/>
      <c r="I10" s="3"/>
      <c r="J10" s="3"/>
      <c r="K10" s="3"/>
      <c r="L10" s="3"/>
      <c r="M10" s="3"/>
      <c r="N10"/>
      <c r="O10" s="29"/>
      <c r="P10" s="29"/>
      <c r="Q10" s="30"/>
      <c r="R10" s="8"/>
      <c r="S10" s="32"/>
      <c r="T10" s="8"/>
      <c r="U10" s="8"/>
      <c r="V10" s="8"/>
    </row>
    <row r="11" spans="1:22" ht="18" customHeight="1">
      <c r="A11" s="5"/>
      <c r="B11" s="5"/>
      <c r="C11" s="5"/>
      <c r="D11" s="5"/>
      <c r="E11" s="5"/>
      <c r="F11" s="5"/>
      <c r="G11"/>
      <c r="H11"/>
      <c r="I11"/>
      <c r="J11"/>
      <c r="K11"/>
      <c r="L11"/>
      <c r="M11"/>
      <c r="N11"/>
      <c r="O11" s="9"/>
      <c r="P11" s="9"/>
      <c r="Q11" s="9"/>
      <c r="R11" s="8"/>
      <c r="S11" s="10"/>
      <c r="T11" s="8"/>
      <c r="U11" s="8"/>
      <c r="V11" s="8"/>
    </row>
    <row r="12" spans="1:22" ht="18" customHeight="1">
      <c r="A12" s="7"/>
      <c r="B12" s="7"/>
      <c r="C12" s="7"/>
      <c r="D12" s="7"/>
      <c r="E12" s="7"/>
      <c r="F12" s="7"/>
      <c r="G12"/>
      <c r="H12"/>
      <c r="I12"/>
      <c r="J12"/>
      <c r="K12"/>
      <c r="L12"/>
      <c r="M12"/>
      <c r="N12"/>
      <c r="O12" s="9"/>
      <c r="P12" s="9"/>
      <c r="Q12" s="9"/>
      <c r="R12" s="8"/>
      <c r="S12" s="10"/>
      <c r="T12" s="8"/>
      <c r="U12" s="8"/>
      <c r="V12" s="8"/>
    </row>
    <row r="13" spans="1:22" ht="18" customHeight="1">
      <c r="A13" s="7"/>
      <c r="B13" s="7"/>
      <c r="C13" s="7"/>
      <c r="D13" s="7"/>
      <c r="E13" s="7"/>
      <c r="F13" s="7"/>
      <c r="G13"/>
      <c r="H13"/>
      <c r="I13"/>
      <c r="J13"/>
      <c r="K13"/>
      <c r="L13"/>
      <c r="M13"/>
      <c r="N13"/>
      <c r="O13" s="9"/>
      <c r="P13" s="9"/>
      <c r="Q13" s="9"/>
      <c r="R13" s="11"/>
      <c r="S13" s="10"/>
      <c r="T13" s="8"/>
      <c r="U13" s="8"/>
      <c r="V13" s="8"/>
    </row>
    <row r="14" spans="1:22" ht="18" customHeight="1">
      <c r="A14" s="7"/>
      <c r="B14" s="7"/>
      <c r="C14" s="7"/>
      <c r="D14" s="7"/>
      <c r="E14" s="7"/>
      <c r="F14" s="7"/>
      <c r="G14"/>
      <c r="H14"/>
      <c r="I14"/>
      <c r="J14"/>
      <c r="K14"/>
      <c r="L14"/>
      <c r="M14"/>
      <c r="N14"/>
      <c r="O14" s="11"/>
      <c r="P14" s="11"/>
      <c r="Q14" s="11"/>
      <c r="R14" s="11"/>
      <c r="S14" s="32"/>
      <c r="T14" s="8"/>
      <c r="U14" s="25" t="s">
        <v>87</v>
      </c>
      <c r="V14" s="26"/>
    </row>
    <row r="15" spans="1:22" ht="18" customHeight="1">
      <c r="A15" s="7"/>
      <c r="B15" s="7"/>
      <c r="C15" s="7"/>
      <c r="D15" s="7"/>
      <c r="E15" s="7"/>
      <c r="F15" s="7"/>
      <c r="G15"/>
      <c r="H15"/>
      <c r="I15"/>
      <c r="J15"/>
      <c r="K15"/>
      <c r="L15"/>
      <c r="M15"/>
      <c r="N15"/>
      <c r="O15" s="29"/>
      <c r="P15" s="9"/>
      <c r="Q15" s="9"/>
      <c r="R15" s="9"/>
      <c r="S15" s="34"/>
      <c r="T15" s="8"/>
      <c r="U15" s="12" t="s">
        <v>12</v>
      </c>
      <c r="V15" s="13" t="s">
        <v>90</v>
      </c>
    </row>
    <row r="16" spans="1:22" ht="18" customHeight="1">
      <c r="A16" s="7"/>
      <c r="B16" s="7"/>
      <c r="C16" s="7"/>
      <c r="D16" s="7"/>
      <c r="E16" s="7"/>
      <c r="F16" s="7"/>
      <c r="G16"/>
      <c r="H16"/>
      <c r="I16"/>
      <c r="J16"/>
      <c r="K16"/>
      <c r="L16"/>
      <c r="M16"/>
      <c r="N16"/>
      <c r="O16" s="9"/>
      <c r="P16" s="9"/>
      <c r="Q16" s="9"/>
      <c r="R16" s="9"/>
      <c r="S16" s="33"/>
      <c r="T16" s="8"/>
      <c r="U16" s="12" t="s">
        <v>14</v>
      </c>
      <c r="V16" s="13"/>
    </row>
    <row r="17" spans="1:22" ht="18" customHeight="1">
      <c r="A17" s="7"/>
      <c r="B17" s="7"/>
      <c r="C17" s="7"/>
      <c r="D17" s="7"/>
      <c r="E17" s="7"/>
      <c r="F17" s="7"/>
      <c r="G17"/>
      <c r="H17"/>
      <c r="I17"/>
      <c r="J17"/>
      <c r="K17"/>
      <c r="L17"/>
      <c r="M17"/>
      <c r="N17"/>
      <c r="O17" s="9"/>
      <c r="P17" s="9"/>
      <c r="Q17" s="9"/>
      <c r="R17" s="9"/>
      <c r="S17" s="8"/>
      <c r="T17" s="8"/>
      <c r="U17" s="12" t="s">
        <v>88</v>
      </c>
      <c r="V17" s="13"/>
    </row>
    <row r="18" spans="1:22" ht="18" customHeight="1">
      <c r="A18" s="7"/>
      <c r="B18" s="7"/>
      <c r="C18" s="7"/>
      <c r="D18" s="7"/>
      <c r="E18" s="7"/>
      <c r="F18" s="7"/>
      <c r="G18"/>
      <c r="H18"/>
      <c r="I18"/>
      <c r="J18"/>
      <c r="K18"/>
      <c r="L18"/>
      <c r="M18"/>
      <c r="N18"/>
      <c r="O18" s="9"/>
      <c r="P18" s="9"/>
      <c r="Q18" s="9"/>
      <c r="R18" s="9"/>
      <c r="S18" s="8"/>
      <c r="T18" s="8"/>
      <c r="U18" s="14" t="s">
        <v>89</v>
      </c>
      <c r="V18" s="15"/>
    </row>
    <row r="19" spans="1:22" ht="18" customHeight="1">
      <c r="A19" s="7"/>
      <c r="B19" s="7"/>
      <c r="C19" s="7"/>
      <c r="D19" s="7"/>
      <c r="E19" s="7"/>
      <c r="F19" s="7"/>
      <c r="G19"/>
      <c r="H19"/>
      <c r="I19"/>
      <c r="J19"/>
      <c r="K19"/>
      <c r="L19"/>
      <c r="M19"/>
      <c r="N19"/>
      <c r="O19" s="9"/>
      <c r="P19" s="9"/>
      <c r="Q19" s="9"/>
      <c r="R19" s="9"/>
      <c r="S19" s="8"/>
      <c r="T19" s="8"/>
      <c r="U19" s="8"/>
      <c r="V19" s="8"/>
    </row>
    <row r="20" spans="1:22" ht="18" customHeight="1">
      <c r="A20" s="7"/>
      <c r="B20" s="7"/>
      <c r="C20" s="7"/>
      <c r="D20" s="7"/>
      <c r="E20" s="7"/>
      <c r="F20" s="7"/>
      <c r="G20"/>
      <c r="H20"/>
      <c r="I20"/>
      <c r="J20"/>
      <c r="K20"/>
      <c r="L20"/>
      <c r="M20"/>
      <c r="N20"/>
      <c r="O20" s="9"/>
      <c r="P20" s="9"/>
      <c r="Q20" s="9"/>
      <c r="R20" s="9"/>
      <c r="S20" s="8"/>
      <c r="T20" s="8"/>
      <c r="U20" s="8"/>
      <c r="V20" s="8"/>
    </row>
    <row r="21" spans="1:22" ht="18" customHeight="1">
      <c r="A21" s="7"/>
      <c r="B21" s="7"/>
      <c r="C21" s="7"/>
      <c r="D21" s="7"/>
      <c r="E21" s="7"/>
      <c r="F21" s="7"/>
      <c r="G21"/>
      <c r="H21"/>
      <c r="I21"/>
      <c r="J21"/>
      <c r="K21"/>
      <c r="L21"/>
      <c r="M21"/>
      <c r="N21"/>
      <c r="O21" s="29"/>
      <c r="P21" s="29"/>
      <c r="Q21" s="29"/>
      <c r="R21" s="9"/>
      <c r="S21" s="8"/>
      <c r="T21" s="8"/>
      <c r="U21" s="8"/>
      <c r="V21" s="8"/>
    </row>
    <row r="22" spans="1:22" ht="18" customHeight="1">
      <c r="A22" s="7"/>
      <c r="B22" s="7"/>
      <c r="C22" s="7"/>
      <c r="D22" s="7"/>
      <c r="E22" s="7"/>
      <c r="F22" s="7"/>
      <c r="G22"/>
      <c r="H22"/>
      <c r="I22"/>
      <c r="J22"/>
      <c r="K22"/>
      <c r="L22"/>
      <c r="M22"/>
      <c r="N22"/>
      <c r="O22" s="9"/>
      <c r="P22" s="9"/>
      <c r="Q22" s="9"/>
      <c r="R22" s="9"/>
      <c r="S22" s="8"/>
      <c r="T22" s="8"/>
      <c r="U22" s="8"/>
      <c r="V22" s="8"/>
    </row>
    <row r="23" spans="1:22" ht="18" customHeight="1">
      <c r="A23" s="7"/>
      <c r="B23" s="7"/>
      <c r="C23" s="7"/>
      <c r="D23" s="7"/>
      <c r="E23" s="7"/>
      <c r="F23" s="7"/>
      <c r="G23"/>
      <c r="H23"/>
      <c r="I23"/>
      <c r="J23"/>
      <c r="K23"/>
      <c r="L23"/>
      <c r="M23"/>
      <c r="N23"/>
      <c r="O23" s="9"/>
      <c r="P23" s="9"/>
      <c r="Q23" s="9"/>
      <c r="R23" s="9"/>
      <c r="S23" s="8"/>
      <c r="T23" s="8"/>
      <c r="U23" s="8"/>
      <c r="V23" s="8"/>
    </row>
    <row r="24" spans="1:22" ht="18" customHeight="1">
      <c r="A24" s="7"/>
      <c r="B24" s="7"/>
      <c r="C24" s="7"/>
      <c r="D24" s="7"/>
      <c r="E24" s="7"/>
      <c r="F24" s="7"/>
      <c r="O24" s="9"/>
      <c r="P24" s="9"/>
      <c r="Q24" s="35"/>
      <c r="R24" s="9"/>
      <c r="S24" s="8"/>
      <c r="T24" s="8"/>
      <c r="U24" s="8"/>
      <c r="V24" s="8"/>
    </row>
    <row r="25" spans="1:22" ht="18" customHeight="1">
      <c r="A25" s="7"/>
      <c r="B25" s="7"/>
      <c r="C25" s="7"/>
      <c r="D25" s="7"/>
      <c r="E25" s="7"/>
      <c r="F25" s="7"/>
      <c r="O25" s="9"/>
      <c r="P25" s="9"/>
      <c r="Q25" s="9"/>
      <c r="R25" s="9"/>
      <c r="S25" s="8"/>
      <c r="T25" s="8"/>
      <c r="U25" s="8"/>
      <c r="V25" s="8"/>
    </row>
    <row r="26" spans="1:22" ht="18" customHeight="1">
      <c r="A26" s="7"/>
      <c r="B26" s="7"/>
      <c r="C26" s="7"/>
      <c r="D26" s="7"/>
      <c r="E26" s="7"/>
      <c r="F26" s="7"/>
      <c r="O26" s="9"/>
      <c r="P26" s="9"/>
      <c r="Q26" s="9"/>
      <c r="R26" s="10"/>
      <c r="S26" s="8"/>
      <c r="T26" s="8"/>
      <c r="U26" s="8"/>
      <c r="V26" s="8"/>
    </row>
    <row r="27" spans="1:22" ht="18" customHeight="1">
      <c r="A27" s="1" t="s">
        <v>72</v>
      </c>
      <c r="O27" s="10"/>
      <c r="P27" s="10"/>
      <c r="Q27" s="10"/>
      <c r="R27" s="10"/>
      <c r="S27" s="8"/>
      <c r="T27" s="8"/>
      <c r="U27" s="8"/>
      <c r="V27" s="8"/>
    </row>
    <row r="28" spans="1:22" ht="18" customHeight="1">
      <c r="A28" s="1" t="s">
        <v>73</v>
      </c>
      <c r="O28" s="10"/>
      <c r="P28" s="10"/>
      <c r="Q28" s="10"/>
      <c r="R28" s="10"/>
      <c r="S28" s="8"/>
      <c r="T28" s="8"/>
      <c r="U28" s="8"/>
      <c r="V28" s="8"/>
    </row>
    <row r="29" spans="1:22" ht="18" customHeight="1">
      <c r="O29" s="10"/>
      <c r="P29" s="10"/>
      <c r="Q29" s="10"/>
      <c r="R29" s="10"/>
      <c r="S29" s="8"/>
      <c r="T29" s="8"/>
      <c r="U29" s="8"/>
      <c r="V29" s="8"/>
    </row>
    <row r="30" spans="1:22" ht="18" customHeight="1">
      <c r="O30" s="10"/>
      <c r="P30" s="10"/>
      <c r="Q30" s="10"/>
      <c r="R30" s="10"/>
      <c r="S30" s="8"/>
    </row>
  </sheetData>
  <conditionalFormatting sqref="M3">
    <cfRule type="cellIs" dxfId="1" priority="2" operator="equal">
      <formula>"No"</formula>
    </cfRule>
  </conditionalFormatting>
  <conditionalFormatting sqref="M4:M9">
    <cfRule type="cellIs" dxfId="0" priority="1" operator="equal">
      <formula>"No"</formula>
    </cfRule>
  </conditionalFormatting>
  <dataValidations count="3">
    <dataValidation type="list" allowBlank="1" showInputMessage="1" showErrorMessage="1" sqref="F3:F9">
      <formula1>$O$22:$O$26</formula1>
    </dataValidation>
    <dataValidation type="list" allowBlank="1" showInputMessage="1" showErrorMessage="1" sqref="E9">
      <formula1>$S$15:$S$16</formula1>
    </dataValidation>
    <dataValidation type="list" allowBlank="1" showInputMessage="1" showErrorMessage="1" sqref="D3:D8">
      <formula1>$U$15:$U$18</formula1>
    </dataValidation>
  </dataValidations>
  <pageMargins left="0.7" right="0.7" top="0.75" bottom="0.75" header="0.3" footer="0.3"/>
  <pageSetup paperSize="9" orientation="portrait" horizontalDpi="4294967292" verticalDpi="4294967292"/>
  <ignoredErrors>
    <ignoredError sqref="H3:H8 I8 I3:I7 J3:J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blePlan_Click">
                <anchor moveWithCells="1" sizeWithCells="1">
                  <from>
                    <xdr:col>13</xdr:col>
                    <xdr:colOff>177800</xdr:colOff>
                    <xdr:row>1</xdr:row>
                    <xdr:rowOff>12700</xdr:rowOff>
                  </from>
                  <to>
                    <xdr:col>13</xdr:col>
                    <xdr:colOff>1079500</xdr:colOff>
                    <xdr:row>2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Btn_Click">
                <anchor moveWithCells="1" sizeWithCells="1">
                  <from>
                    <xdr:col>13</xdr:col>
                    <xdr:colOff>152400</xdr:colOff>
                    <xdr:row>3</xdr:row>
                    <xdr:rowOff>38100</xdr:rowOff>
                  </from>
                  <to>
                    <xdr:col>13</xdr:col>
                    <xdr:colOff>1054100</xdr:colOff>
                    <xdr:row>4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Init!$C$22:$C$27</xm:f>
          </x14:formula1>
          <xm:sqref>E3:E8</xm:sqref>
        </x14:dataValidation>
        <x14:dataValidation type="list" allowBlank="1" showInputMessage="1" showErrorMessage="1">
          <x14:formula1>
            <xm:f>Init!$A$5:$A$14</xm:f>
          </x14:formula1>
          <xm:sqref>A3:A8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J27"/>
  <sheetViews>
    <sheetView workbookViewId="0">
      <selection activeCell="C4" sqref="C4"/>
    </sheetView>
  </sheetViews>
  <sheetFormatPr baseColWidth="10" defaultRowHeight="14" x14ac:dyDescent="0"/>
  <cols>
    <col min="1" max="1" width="14.83203125" customWidth="1"/>
    <col min="6" max="6" width="11.33203125" customWidth="1"/>
  </cols>
  <sheetData>
    <row r="1" spans="1:10" ht="40" customHeight="1">
      <c r="A1" s="20" t="s">
        <v>71</v>
      </c>
    </row>
    <row r="2" spans="1:10" ht="15">
      <c r="A2" s="2" t="s">
        <v>2</v>
      </c>
      <c r="B2" s="2" t="s">
        <v>16</v>
      </c>
      <c r="C2" s="4" t="s">
        <v>22</v>
      </c>
      <c r="D2" s="4" t="s">
        <v>23</v>
      </c>
      <c r="E2" s="2" t="s">
        <v>41</v>
      </c>
      <c r="F2" s="2" t="s">
        <v>17</v>
      </c>
    </row>
    <row r="3" spans="1:10">
      <c r="A3" s="5" t="s">
        <v>65</v>
      </c>
      <c r="B3" s="6">
        <v>1</v>
      </c>
      <c r="C3" s="7" t="s">
        <v>98</v>
      </c>
      <c r="D3" s="7" t="s">
        <v>100</v>
      </c>
      <c r="E3" s="5" t="s">
        <v>69</v>
      </c>
      <c r="F3" s="5" t="s">
        <v>12</v>
      </c>
      <c r="J3" t="s">
        <v>12</v>
      </c>
    </row>
    <row r="4" spans="1:10">
      <c r="A4" s="5" t="s">
        <v>65</v>
      </c>
      <c r="B4" s="6">
        <v>2</v>
      </c>
      <c r="C4" s="7" t="s">
        <v>98</v>
      </c>
      <c r="D4" s="7" t="s">
        <v>100</v>
      </c>
      <c r="E4" s="5" t="s">
        <v>70</v>
      </c>
      <c r="F4" s="5" t="s">
        <v>14</v>
      </c>
      <c r="J4" t="s">
        <v>14</v>
      </c>
    </row>
    <row r="5" spans="1:10">
      <c r="A5" s="5" t="s">
        <v>66</v>
      </c>
      <c r="B5" s="6">
        <v>1</v>
      </c>
      <c r="C5" s="7" t="s">
        <v>98</v>
      </c>
      <c r="D5" s="7" t="s">
        <v>100</v>
      </c>
      <c r="E5" s="5" t="s">
        <v>69</v>
      </c>
      <c r="F5" s="5" t="s">
        <v>12</v>
      </c>
    </row>
    <row r="6" spans="1:10">
      <c r="A6" s="5" t="s">
        <v>66</v>
      </c>
      <c r="B6" s="6">
        <v>2</v>
      </c>
      <c r="C6" s="7" t="s">
        <v>98</v>
      </c>
      <c r="D6" s="7" t="s">
        <v>100</v>
      </c>
      <c r="E6" s="5" t="s">
        <v>70</v>
      </c>
      <c r="F6" s="5" t="s">
        <v>14</v>
      </c>
    </row>
    <row r="7" spans="1:10">
      <c r="A7" s="5" t="s">
        <v>101</v>
      </c>
      <c r="B7" s="6">
        <v>1</v>
      </c>
      <c r="C7" s="7" t="s">
        <v>98</v>
      </c>
      <c r="D7" s="7" t="s">
        <v>100</v>
      </c>
      <c r="E7" s="5" t="s">
        <v>69</v>
      </c>
      <c r="F7" s="5" t="s">
        <v>12</v>
      </c>
    </row>
    <row r="8" spans="1:10">
      <c r="A8" s="5" t="s">
        <v>101</v>
      </c>
      <c r="B8" s="6">
        <v>2</v>
      </c>
      <c r="C8" s="7" t="s">
        <v>98</v>
      </c>
      <c r="D8" s="7" t="s">
        <v>100</v>
      </c>
      <c r="E8" s="5" t="s">
        <v>70</v>
      </c>
      <c r="F8" s="5" t="s">
        <v>14</v>
      </c>
    </row>
    <row r="9" spans="1:10">
      <c r="A9" s="5" t="s">
        <v>102</v>
      </c>
      <c r="B9" s="6">
        <v>1</v>
      </c>
      <c r="C9" s="7" t="s">
        <v>98</v>
      </c>
      <c r="D9" s="7" t="s">
        <v>100</v>
      </c>
      <c r="E9" s="5" t="s">
        <v>69</v>
      </c>
      <c r="F9" s="5" t="s">
        <v>12</v>
      </c>
    </row>
    <row r="10" spans="1:10">
      <c r="A10" s="5" t="s">
        <v>102</v>
      </c>
      <c r="B10" s="6">
        <v>2</v>
      </c>
      <c r="C10" s="7" t="s">
        <v>98</v>
      </c>
      <c r="D10" s="7" t="s">
        <v>100</v>
      </c>
      <c r="E10" s="5" t="s">
        <v>70</v>
      </c>
      <c r="F10" s="5" t="s">
        <v>14</v>
      </c>
    </row>
    <row r="11" spans="1:10">
      <c r="A11" s="5" t="s">
        <v>67</v>
      </c>
      <c r="B11" s="6">
        <v>1</v>
      </c>
      <c r="C11" s="7" t="s">
        <v>98</v>
      </c>
      <c r="D11" s="7" t="s">
        <v>100</v>
      </c>
      <c r="E11" s="5" t="s">
        <v>69</v>
      </c>
      <c r="F11" s="5" t="s">
        <v>12</v>
      </c>
    </row>
    <row r="12" spans="1:10">
      <c r="A12" s="5" t="s">
        <v>68</v>
      </c>
      <c r="B12" s="6">
        <v>1</v>
      </c>
      <c r="C12" s="7" t="s">
        <v>98</v>
      </c>
      <c r="D12" s="7" t="s">
        <v>100</v>
      </c>
      <c r="E12" s="5" t="s">
        <v>69</v>
      </c>
      <c r="F12" s="5" t="s">
        <v>12</v>
      </c>
    </row>
    <row r="13" spans="1:10">
      <c r="A13" s="5" t="s">
        <v>67</v>
      </c>
      <c r="B13" s="6">
        <v>2</v>
      </c>
      <c r="C13" s="7" t="s">
        <v>98</v>
      </c>
      <c r="D13" s="7" t="s">
        <v>100</v>
      </c>
      <c r="E13" s="5" t="s">
        <v>70</v>
      </c>
      <c r="F13" s="5" t="s">
        <v>14</v>
      </c>
    </row>
    <row r="14" spans="1:10">
      <c r="A14" s="5" t="s">
        <v>68</v>
      </c>
      <c r="B14" s="6">
        <v>2</v>
      </c>
      <c r="C14" s="7" t="s">
        <v>98</v>
      </c>
      <c r="D14" s="7" t="s">
        <v>100</v>
      </c>
      <c r="E14" s="5" t="s">
        <v>70</v>
      </c>
      <c r="F14" s="5" t="s">
        <v>14</v>
      </c>
    </row>
    <row r="15" spans="1:10">
      <c r="A15" s="5"/>
      <c r="B15" s="7"/>
      <c r="C15" s="7"/>
      <c r="D15" s="7"/>
      <c r="E15" s="7"/>
      <c r="F15" s="5"/>
    </row>
    <row r="16" spans="1:10">
      <c r="A16" s="5"/>
      <c r="B16" s="7"/>
      <c r="C16" s="7"/>
      <c r="D16" s="7"/>
      <c r="E16" s="7"/>
      <c r="F16" s="5"/>
    </row>
    <row r="17" spans="1:6">
      <c r="A17" s="5"/>
      <c r="B17" s="5"/>
      <c r="C17" s="5"/>
      <c r="D17" s="5"/>
      <c r="E17" s="5"/>
      <c r="F17" s="5"/>
    </row>
    <row r="18" spans="1:6">
      <c r="A18" s="5"/>
      <c r="B18" s="5"/>
      <c r="C18" s="5"/>
      <c r="D18" s="5"/>
      <c r="E18" s="5"/>
      <c r="F18" s="5"/>
    </row>
    <row r="19" spans="1:6">
      <c r="A19" s="5"/>
      <c r="B19" s="5"/>
      <c r="C19" s="5"/>
      <c r="D19" s="5"/>
      <c r="E19" s="5"/>
      <c r="F19" s="5"/>
    </row>
    <row r="20" spans="1:6">
      <c r="A20" s="5"/>
      <c r="B20" s="5"/>
      <c r="C20" s="5"/>
      <c r="D20" s="5"/>
      <c r="E20" s="5"/>
      <c r="F20" s="5"/>
    </row>
    <row r="21" spans="1:6">
      <c r="A21" s="5"/>
      <c r="B21" s="5"/>
      <c r="C21" s="5"/>
      <c r="D21" s="5"/>
      <c r="E21" s="5"/>
      <c r="F21" s="5"/>
    </row>
    <row r="22" spans="1:6">
      <c r="A22" s="5"/>
      <c r="B22" s="5"/>
      <c r="C22" s="5"/>
      <c r="D22" s="5"/>
      <c r="E22" s="5"/>
      <c r="F22" s="5"/>
    </row>
    <row r="23" spans="1:6">
      <c r="A23" s="5"/>
      <c r="B23" s="5"/>
      <c r="C23" s="5"/>
      <c r="D23" s="5"/>
      <c r="E23" s="5"/>
      <c r="F23" s="5"/>
    </row>
    <row r="24" spans="1:6">
      <c r="A24" s="5"/>
      <c r="B24" s="5"/>
      <c r="C24" s="5"/>
      <c r="D24" s="5"/>
      <c r="E24" s="5"/>
      <c r="F24" s="5"/>
    </row>
    <row r="25" spans="1:6">
      <c r="A25" s="5"/>
      <c r="B25" s="5"/>
      <c r="C25" s="5"/>
      <c r="D25" s="5"/>
      <c r="E25" s="5"/>
      <c r="F25" s="5"/>
    </row>
    <row r="26" spans="1:6">
      <c r="A26" s="5"/>
      <c r="B26" s="5"/>
      <c r="C26" s="5"/>
      <c r="D26" s="5"/>
      <c r="E26" s="5"/>
      <c r="F26" s="5"/>
    </row>
    <row r="27" spans="1:6">
      <c r="A27" s="5"/>
      <c r="B27" s="5"/>
      <c r="C27" s="5"/>
      <c r="D27" s="5"/>
      <c r="E27" s="5"/>
      <c r="F27" s="5"/>
    </row>
  </sheetData>
  <dataValidations count="1">
    <dataValidation type="list" allowBlank="1" showInputMessage="1" showErrorMessage="1" sqref="F3:F27">
      <formula1>$J$3:$J$4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ServerPlan_Clic">
                <anchor moveWithCells="1" sizeWithCells="1">
                  <from>
                    <xdr:col>7</xdr:col>
                    <xdr:colOff>0</xdr:colOff>
                    <xdr:row>2</xdr:row>
                    <xdr:rowOff>12700</xdr:rowOff>
                  </from>
                  <to>
                    <xdr:col>8</xdr:col>
                    <xdr:colOff>76200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emoveBtn_Click">
                <anchor moveWithCells="1" sizeWithCells="1">
                  <from>
                    <xdr:col>7</xdr:col>
                    <xdr:colOff>12700</xdr:colOff>
                    <xdr:row>5</xdr:row>
                    <xdr:rowOff>25400</xdr:rowOff>
                  </from>
                  <to>
                    <xdr:col>8</xdr:col>
                    <xdr:colOff>88900</xdr:colOff>
                    <xdr:row>7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CablePlan!$C$3:$C$26</xm:f>
          </x14:formula1>
          <xm:sqref>A3:A27</xm:sqref>
        </x14:dataValidation>
        <x14:dataValidation type="list" allowBlank="1" showInputMessage="1" showErrorMessage="1">
          <x14:formula1>
            <xm:f>ANPs!$G$4:$G$16</xm:f>
          </x14:formula1>
          <xm:sqref>C3:C14</xm:sqref>
        </x14:dataValidation>
        <x14:dataValidation type="list" allowBlank="1" showInputMessage="1" showErrorMessage="1">
          <x14:formula1>
            <xm:f>ANPs!$H$4:$H$16</xm:f>
          </x14:formula1>
          <xm:sqref>D3:D14</xm:sqref>
        </x14:dataValidation>
        <x14:dataValidation type="list" allowBlank="1" showInputMessage="1" showErrorMessage="1">
          <x14:formula1>
            <xm:f>ANPs!$I$4:$I$16</xm:f>
          </x14:formula1>
          <xm:sqref>E3:E14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2:L25"/>
  <sheetViews>
    <sheetView workbookViewId="0">
      <selection activeCell="G10" sqref="G10"/>
    </sheetView>
  </sheetViews>
  <sheetFormatPr baseColWidth="10" defaultRowHeight="14" x14ac:dyDescent="0"/>
  <cols>
    <col min="1" max="1" width="16.5" customWidth="1"/>
    <col min="2" max="3" width="20" bestFit="1" customWidth="1"/>
    <col min="4" max="5" width="18.5" bestFit="1" customWidth="1"/>
  </cols>
  <sheetData>
    <row r="2" spans="1:12">
      <c r="A2" s="36" t="s">
        <v>113</v>
      </c>
    </row>
    <row r="3" spans="1:12">
      <c r="A3" s="5"/>
      <c r="B3" s="17" t="s">
        <v>109</v>
      </c>
      <c r="C3" s="17" t="s">
        <v>110</v>
      </c>
      <c r="D3" s="17" t="s">
        <v>111</v>
      </c>
      <c r="E3" s="17" t="s">
        <v>112</v>
      </c>
      <c r="F3" s="17"/>
      <c r="G3" s="17"/>
      <c r="H3" s="17"/>
      <c r="I3" s="17"/>
      <c r="J3" s="17"/>
      <c r="K3" s="5"/>
      <c r="L3" s="5"/>
    </row>
    <row r="4" spans="1:12">
      <c r="A4" s="17" t="s">
        <v>65</v>
      </c>
      <c r="B4" s="37"/>
      <c r="C4" s="37"/>
      <c r="D4" s="38">
        <v>1</v>
      </c>
      <c r="E4" s="39">
        <v>2</v>
      </c>
      <c r="F4" s="37"/>
      <c r="G4" s="37"/>
      <c r="H4" s="37"/>
      <c r="I4" s="37"/>
      <c r="J4" s="37"/>
      <c r="K4" s="37"/>
      <c r="L4" s="37"/>
    </row>
    <row r="5" spans="1:12">
      <c r="A5" s="17" t="s">
        <v>66</v>
      </c>
      <c r="B5" s="37"/>
      <c r="C5" s="37"/>
      <c r="D5" s="38">
        <v>1</v>
      </c>
      <c r="E5" s="39">
        <v>2</v>
      </c>
      <c r="F5" s="37"/>
      <c r="G5" s="37"/>
      <c r="H5" s="37"/>
      <c r="I5" s="37"/>
      <c r="J5" s="37"/>
      <c r="K5" s="37"/>
      <c r="L5" s="37"/>
    </row>
    <row r="6" spans="1:12">
      <c r="A6" s="17" t="s">
        <v>101</v>
      </c>
      <c r="B6" s="37"/>
      <c r="C6" s="37"/>
      <c r="D6" s="38">
        <v>1</v>
      </c>
      <c r="E6" s="39">
        <v>2</v>
      </c>
      <c r="F6" s="37"/>
      <c r="G6" s="37"/>
      <c r="H6" s="37"/>
      <c r="I6" s="37"/>
      <c r="J6" s="37"/>
      <c r="K6" s="37"/>
      <c r="L6" s="37"/>
    </row>
    <row r="7" spans="1:12">
      <c r="A7" s="17" t="s">
        <v>102</v>
      </c>
      <c r="B7" s="37"/>
      <c r="C7" s="39"/>
      <c r="D7" s="38">
        <v>1</v>
      </c>
      <c r="E7" s="39">
        <v>2</v>
      </c>
      <c r="F7" s="37"/>
      <c r="G7" s="37"/>
      <c r="H7" s="37"/>
      <c r="I7" s="37"/>
      <c r="J7" s="37"/>
      <c r="K7" s="37"/>
      <c r="L7" s="37"/>
    </row>
    <row r="8" spans="1:12">
      <c r="A8" s="17" t="s">
        <v>67</v>
      </c>
      <c r="B8" s="39"/>
      <c r="C8" s="37"/>
      <c r="D8" s="38">
        <v>1</v>
      </c>
      <c r="E8" s="39">
        <v>2</v>
      </c>
      <c r="F8" s="37"/>
      <c r="G8" s="37"/>
      <c r="H8" s="37"/>
      <c r="I8" s="37"/>
      <c r="J8" s="37"/>
      <c r="K8" s="37"/>
      <c r="L8" s="37"/>
    </row>
    <row r="9" spans="1:12">
      <c r="A9" s="17" t="s">
        <v>68</v>
      </c>
      <c r="B9" s="37"/>
      <c r="C9" s="37"/>
      <c r="D9" s="38">
        <v>1</v>
      </c>
      <c r="E9" s="39">
        <v>2</v>
      </c>
      <c r="F9" s="37"/>
      <c r="G9" s="37"/>
      <c r="H9" s="37"/>
      <c r="I9" s="37"/>
      <c r="J9" s="37"/>
      <c r="K9" s="37"/>
      <c r="L9" s="37"/>
    </row>
    <row r="10" spans="1:12">
      <c r="A10" s="1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</row>
    <row r="11" spans="1:12">
      <c r="A11" s="5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</row>
    <row r="12" spans="1:12">
      <c r="A12" s="1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</row>
    <row r="13" spans="1:12">
      <c r="A13" s="1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</row>
    <row r="14" spans="1:12">
      <c r="A14" s="1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</row>
    <row r="15" spans="1:12">
      <c r="A15" s="1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</row>
    <row r="16" spans="1:12">
      <c r="A16" s="1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</row>
    <row r="17" spans="1:12">
      <c r="A17" s="1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</row>
    <row r="18" spans="1:12">
      <c r="A18" s="1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</row>
    <row r="19" spans="1:12">
      <c r="A19" s="1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</row>
    <row r="20" spans="1:12">
      <c r="A20" s="1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</row>
    <row r="21" spans="1:12">
      <c r="A21" s="1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</row>
    <row r="22" spans="1:12">
      <c r="A22" s="1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</row>
    <row r="23" spans="1:12">
      <c r="A23" s="1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</row>
    <row r="24" spans="1:12">
      <c r="A24" s="19"/>
    </row>
    <row r="25" spans="1:12">
      <c r="A25" s="19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BuildMatrix_Click">
                <anchor moveWithCells="1" sizeWithCells="1">
                  <from>
                    <xdr:col>12</xdr:col>
                    <xdr:colOff>571500</xdr:colOff>
                    <xdr:row>1</xdr:row>
                    <xdr:rowOff>101600</xdr:rowOff>
                  </from>
                  <to>
                    <xdr:col>14</xdr:col>
                    <xdr:colOff>571500</xdr:colOff>
                    <xdr:row>3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B18"/>
  <sheetViews>
    <sheetView topLeftCell="A9" workbookViewId="0">
      <selection activeCell="B19" sqref="B19"/>
    </sheetView>
  </sheetViews>
  <sheetFormatPr baseColWidth="10" defaultRowHeight="14" x14ac:dyDescent="0"/>
  <sheetData>
    <row r="2" spans="1:2">
      <c r="A2" t="s">
        <v>24</v>
      </c>
      <c r="B2" t="s">
        <v>25</v>
      </c>
    </row>
    <row r="3" spans="1:2">
      <c r="A3" t="s">
        <v>26</v>
      </c>
      <c r="B3" t="s">
        <v>27</v>
      </c>
    </row>
    <row r="4" spans="1:2">
      <c r="B4" t="s">
        <v>29</v>
      </c>
    </row>
    <row r="5" spans="1:2">
      <c r="B5" t="s">
        <v>31</v>
      </c>
    </row>
    <row r="6" spans="1:2">
      <c r="A6" t="s">
        <v>44</v>
      </c>
      <c r="B6" t="s">
        <v>45</v>
      </c>
    </row>
    <row r="7" spans="1:2">
      <c r="B7" t="s">
        <v>46</v>
      </c>
    </row>
    <row r="8" spans="1:2">
      <c r="B8" t="s">
        <v>47</v>
      </c>
    </row>
    <row r="9" spans="1:2">
      <c r="B9" t="s">
        <v>107</v>
      </c>
    </row>
    <row r="10" spans="1:2">
      <c r="B10" t="s">
        <v>108</v>
      </c>
    </row>
    <row r="11" spans="1:2">
      <c r="B11" t="s">
        <v>48</v>
      </c>
    </row>
    <row r="12" spans="1:2">
      <c r="B12" t="s">
        <v>49</v>
      </c>
    </row>
    <row r="13" spans="1:2">
      <c r="A13" t="s">
        <v>104</v>
      </c>
      <c r="B13" t="s">
        <v>105</v>
      </c>
    </row>
    <row r="14" spans="1:2">
      <c r="B14" t="s">
        <v>106</v>
      </c>
    </row>
    <row r="15" spans="1:2">
      <c r="B15" t="s">
        <v>114</v>
      </c>
    </row>
    <row r="16" spans="1:2">
      <c r="A16" t="s">
        <v>115</v>
      </c>
      <c r="B16" t="s">
        <v>116</v>
      </c>
    </row>
    <row r="17" spans="2:2">
      <c r="B17" t="s">
        <v>117</v>
      </c>
    </row>
    <row r="18" spans="2:2">
      <c r="B18" t="s">
        <v>118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ANPs</vt:lpstr>
      <vt:lpstr>Init</vt:lpstr>
      <vt:lpstr>CablePlan</vt:lpstr>
      <vt:lpstr>ServerPlan</vt:lpstr>
      <vt:lpstr>ServerPlan2</vt:lpstr>
      <vt:lpstr>VersionControl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Jose Moreno</cp:lastModifiedBy>
  <dcterms:created xsi:type="dcterms:W3CDTF">2011-08-25T14:29:57Z</dcterms:created>
  <dcterms:modified xsi:type="dcterms:W3CDTF">2015-10-10T19:18:42Z</dcterms:modified>
</cp:coreProperties>
</file>