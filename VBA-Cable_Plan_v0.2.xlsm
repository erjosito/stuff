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7A2D7E96-6E34-419A-AE5F-296B3A7E7977}"/>
  <workbookPr codeName="ThisWorkbook" autoCompressPictures="0"/>
  <bookViews>
    <workbookView xWindow="0" yWindow="0" windowWidth="28800" windowHeight="17480"/>
  </bookViews>
  <sheets>
    <sheet name="CablePlan" sheetId="1" r:id="rId1"/>
    <sheet name="VersionControl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" i="1" l="1"/>
  <c r="M8" i="1"/>
  <c r="M7" i="1"/>
  <c r="M6" i="1"/>
  <c r="M5" i="1"/>
  <c r="M4" i="1"/>
  <c r="M3" i="1"/>
  <c r="J9" i="1"/>
  <c r="J8" i="1"/>
  <c r="J7" i="1"/>
  <c r="J6" i="1"/>
  <c r="J5" i="1"/>
  <c r="J4" i="1"/>
  <c r="J3" i="1"/>
  <c r="H9" i="1"/>
  <c r="G9" i="1" a="1"/>
  <c r="G9" i="1"/>
  <c r="H8" i="1"/>
  <c r="G8" i="1" a="1"/>
  <c r="G8" i="1"/>
  <c r="H7" i="1"/>
  <c r="G7" i="1" a="1"/>
  <c r="G7" i="1"/>
  <c r="H6" i="1"/>
  <c r="G6" i="1" a="1"/>
  <c r="G6" i="1"/>
  <c r="H5" i="1"/>
  <c r="G5" i="1" a="1"/>
  <c r="G5" i="1"/>
  <c r="H4" i="1"/>
  <c r="G4" i="1" a="1"/>
  <c r="G4" i="1"/>
  <c r="H3" i="1"/>
  <c r="G3" i="1" a="1"/>
  <c r="G3" i="1"/>
  <c r="L9" i="1"/>
  <c r="K9" i="1"/>
  <c r="I9" i="1"/>
  <c r="L8" i="1"/>
  <c r="K8" i="1"/>
  <c r="I8" i="1"/>
  <c r="L7" i="1"/>
  <c r="K7" i="1"/>
  <c r="I7" i="1"/>
  <c r="L6" i="1"/>
  <c r="K6" i="1"/>
  <c r="I6" i="1"/>
  <c r="L5" i="1"/>
  <c r="K5" i="1"/>
  <c r="I5" i="1"/>
  <c r="L4" i="1"/>
  <c r="K4" i="1"/>
  <c r="I4" i="1"/>
  <c r="L3" i="1"/>
  <c r="I3" i="1"/>
  <c r="K3" i="1"/>
</calcChain>
</file>

<file path=xl/sharedStrings.xml><?xml version="1.0" encoding="utf-8"?>
<sst xmlns="http://schemas.openxmlformats.org/spreadsheetml/2006/main" count="146" uniqueCount="76">
  <si>
    <t>Rack</t>
  </si>
  <si>
    <t>Port</t>
  </si>
  <si>
    <t>Server</t>
  </si>
  <si>
    <t>Active/active</t>
  </si>
  <si>
    <t>Speed (Gbps)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</si>
  <si>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</si>
  <si>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</si>
  <si>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</si>
  <si>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</si>
  <si>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</si>
  <si>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</si>
  <si>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</si>
  <si>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</si>
  <si>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Port prof name</t>
  </si>
  <si>
    <t>server-0133</t>
  </si>
  <si>
    <t>Yes</t>
  </si>
  <si>
    <t>1G</t>
  </si>
  <si>
    <t>No</t>
  </si>
  <si>
    <t>1G-noCDP</t>
  </si>
  <si>
    <t>1G-noCDP-Infra</t>
  </si>
  <si>
    <t>10G</t>
  </si>
  <si>
    <t>Switches</t>
  </si>
  <si>
    <t>201-202</t>
  </si>
  <si>
    <t>203-204</t>
  </si>
  <si>
    <t>VLAN</t>
  </si>
  <si>
    <t>Native</t>
  </si>
  <si>
    <t>VPC standard policies</t>
  </si>
  <si>
    <t>CDP_ON</t>
  </si>
  <si>
    <t>LLDP_ON</t>
  </si>
  <si>
    <t>link_default</t>
  </si>
  <si>
    <t>Zones</t>
  </si>
  <si>
    <t>DVS config</t>
  </si>
  <si>
    <t>VLANs available</t>
  </si>
  <si>
    <t>n/a</t>
  </si>
  <si>
    <t>default</t>
  </si>
  <si>
    <t>ACI</t>
  </si>
  <si>
    <t>server-0134</t>
  </si>
  <si>
    <t>LLP</t>
  </si>
  <si>
    <t>server-0135</t>
  </si>
  <si>
    <t>server-0136</t>
  </si>
  <si>
    <t>server-0137</t>
  </si>
  <si>
    <t>server-0138</t>
  </si>
  <si>
    <t>server-0139</t>
  </si>
  <si>
    <t>Tenant</t>
  </si>
  <si>
    <t>App</t>
  </si>
  <si>
    <t>Group</t>
  </si>
  <si>
    <t>Acme</t>
  </si>
  <si>
    <t>MyApp1</t>
  </si>
  <si>
    <t>Tier1</t>
  </si>
  <si>
    <t>Tier2</t>
  </si>
  <si>
    <t>Backup</t>
  </si>
  <si>
    <t>Zone</t>
  </si>
  <si>
    <t>Cat3750</t>
  </si>
  <si>
    <t>Lab-Infra</t>
  </si>
  <si>
    <t>external</t>
  </si>
  <si>
    <t>ACI VLANs:</t>
  </si>
  <si>
    <t>VLANs only in ACI fabric</t>
  </si>
  <si>
    <t>C-Series</t>
  </si>
  <si>
    <t>external:</t>
  </si>
  <si>
    <t>VLAN also existing in external Nexus infrastructure</t>
  </si>
  <si>
    <t>UCSB</t>
  </si>
  <si>
    <t>ACI, external, VM (vCenter DCs "UCSB-AVS" and "UCSB-VDS")</t>
  </si>
  <si>
    <t>ACI, external, VM (vCenter DC "UCSC-VDS")</t>
  </si>
  <si>
    <t>Valid speeds</t>
  </si>
  <si>
    <t>101-102</t>
  </si>
  <si>
    <t>Native values</t>
  </si>
  <si>
    <t>0.1</t>
  </si>
  <si>
    <t>Initial version</t>
  </si>
  <si>
    <t>0.2</t>
  </si>
  <si>
    <t>FEX support added (no VPC on FEX yet)</t>
  </si>
  <si>
    <t>FEX master</t>
  </si>
  <si>
    <t>N/A</t>
  </si>
  <si>
    <t>AAEP support</t>
  </si>
  <si>
    <t>Speed valid</t>
  </si>
  <si>
    <t>Speed verification</t>
  </si>
  <si>
    <t>Legend: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</si>
</sst>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indexed="72"/>
      <name val="Lucida Grande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3" fillId="0" borderId="0" xfId="0" applyFont="1"/>
    <xf numFmtId="0" fontId="6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1" fillId="3" borderId="1" xfId="0" applyFont="1" applyFill="1" applyBorder="1"/>
    <xf numFmtId="0" fontId="1" fillId="3" borderId="2" xfId="0" applyFont="1" applyFill="1" applyBorder="1"/>
    <xf numFmtId="0" fontId="6" fillId="3" borderId="2" xfId="0" applyFont="1" applyFill="1" applyBorder="1" applyAlignment="1">
      <alignment vertical="center"/>
    </xf>
    <xf numFmtId="0" fontId="1" fillId="3" borderId="3" xfId="0" applyFont="1" applyFill="1" applyBorder="1"/>
    <xf numFmtId="0" fontId="0" fillId="3" borderId="4" xfId="0" quotePrefix="1" applyFill="1" applyBorder="1"/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5" xfId="0" applyFill="1" applyBorder="1"/>
    <xf numFmtId="0" fontId="0" fillId="3" borderId="6" xfId="0" quotePrefix="1" applyFill="1" applyBorder="1"/>
    <xf numFmtId="0" fontId="0" fillId="3" borderId="7" xfId="0" applyFill="1" applyBorder="1"/>
    <xf numFmtId="0" fontId="0" fillId="3" borderId="7" xfId="0" applyFill="1" applyBorder="1" applyAlignment="1">
      <alignment vertical="center"/>
    </xf>
    <xf numFmtId="0" fontId="0" fillId="3" borderId="8" xfId="0" applyFill="1" applyBorder="1"/>
    <xf numFmtId="0" fontId="0" fillId="3" borderId="0" xfId="0" applyFill="1"/>
    <xf numFmtId="0" fontId="6" fillId="3" borderId="3" xfId="0" applyFont="1" applyFill="1" applyBorder="1"/>
    <xf numFmtId="0" fontId="6" fillId="3" borderId="9" xfId="0" applyFont="1" applyFill="1" applyBorder="1" applyAlignment="1">
      <alignment vertical="center"/>
    </xf>
    <xf numFmtId="0" fontId="0" fillId="3" borderId="4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6" xfId="0" applyFill="1" applyBorder="1"/>
    <xf numFmtId="0" fontId="1" fillId="3" borderId="9" xfId="0" applyFont="1" applyFill="1" applyBorder="1"/>
    <xf numFmtId="0" fontId="0" fillId="3" borderId="10" xfId="0" quotePrefix="1" applyFill="1" applyBorder="1" applyAlignment="1">
      <alignment vertical="center"/>
    </xf>
    <xf numFmtId="0" fontId="0" fillId="3" borderId="10" xfId="0" applyFill="1" applyBorder="1"/>
    <xf numFmtId="0" fontId="0" fillId="3" borderId="11" xfId="0" quotePrefix="1" applyFill="1" applyBorder="1"/>
    <xf numFmtId="0" fontId="0" fillId="3" borderId="11" xfId="0" applyFill="1" applyBorder="1"/>
    <xf numFmtId="17" fontId="0" fillId="3" borderId="5" xfId="0" quotePrefix="1" applyNumberFormat="1" applyFill="1" applyBorder="1"/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7" fillId="3" borderId="0" xfId="0" applyFont="1" applyFill="1" applyAlignment="1">
      <alignment vertical="center"/>
    </xf>
  </cellXfs>
  <cellStyles count="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3</xdr:row>
          <xdr:rowOff>38100</xdr:rowOff>
        </xdr:from>
        <xdr:to>
          <xdr:col>13</xdr:col>
          <xdr:colOff>1079500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29"/>
  <sheetViews>
    <sheetView tabSelected="1" zoomScale="125" zoomScaleNormal="125" zoomScalePageLayoutView="125" workbookViewId="0">
      <selection activeCell="A14" sqref="A14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12.6640625" style="1" customWidth="1"/>
    <col min="4" max="5" width="9.1640625" style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32" customHeight="1">
      <c r="O1" s="38" t="s">
        <v>75</v>
      </c>
      <c r="P1" s="8"/>
      <c r="Q1" s="8"/>
      <c r="R1" s="8"/>
      <c r="S1" s="8"/>
      <c r="T1" s="8"/>
      <c r="U1" s="8"/>
      <c r="V1" s="8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70</v>
      </c>
      <c r="K2" s="2" t="s">
        <v>9</v>
      </c>
      <c r="L2" s="2" t="s">
        <v>37</v>
      </c>
      <c r="M2" s="2" t="s">
        <v>73</v>
      </c>
      <c r="N2"/>
      <c r="O2" s="9" t="s">
        <v>10</v>
      </c>
      <c r="P2" s="10" t="s">
        <v>11</v>
      </c>
      <c r="Q2" s="10" t="s">
        <v>12</v>
      </c>
      <c r="R2" s="11" t="s">
        <v>51</v>
      </c>
      <c r="S2" s="12" t="s">
        <v>13</v>
      </c>
      <c r="T2" s="8"/>
      <c r="U2" s="8"/>
      <c r="V2" s="8"/>
    </row>
    <row r="3" spans="1:22" ht="18" customHeight="1">
      <c r="A3" s="5">
        <v>1</v>
      </c>
      <c r="B3" s="5">
        <v>33</v>
      </c>
      <c r="C3" s="5" t="s">
        <v>14</v>
      </c>
      <c r="D3" s="5" t="s">
        <v>17</v>
      </c>
      <c r="E3" s="6">
        <v>10</v>
      </c>
      <c r="F3" s="5"/>
      <c r="G3" s="3" t="str">
        <f t="array" ref="G3">INDEX($S$3:$S$7,MATCH(E3&amp;H3,$O$3:$O$7&amp;$R$3:$R$7,0))</f>
        <v>10G</v>
      </c>
      <c r="H3" s="3" t="str">
        <f>IF(LEN(F3)=0,"default",F3)</f>
        <v>default</v>
      </c>
      <c r="I3" s="3" t="str">
        <f>LOOKUP(A3,$O$9:$O$11,$P$9:$P$11)</f>
        <v>201-202</v>
      </c>
      <c r="J3" s="3" t="str">
        <f>LOOKUP(A3,$O$9:$O$11,$Q$9:$Q$11)</f>
        <v>N/A</v>
      </c>
      <c r="K3" s="3" t="str">
        <f>IF(D3="Yes",C3,"N/A")</f>
        <v>N/A</v>
      </c>
      <c r="L3" s="3" t="str">
        <f>IF(D3="Yes",IF(E3=1,"1G-NoNeg","10G-NoNeg"),"N/A")</f>
        <v>N/A</v>
      </c>
      <c r="M3" s="3" t="str">
        <f>IF(AND((LEFT(I3,1)="1"),(E3=10)),"No","Yes")</f>
        <v>Yes</v>
      </c>
      <c r="N3"/>
      <c r="O3" s="13">
        <v>1</v>
      </c>
      <c r="P3" s="14" t="s">
        <v>15</v>
      </c>
      <c r="Q3" s="14" t="s">
        <v>15</v>
      </c>
      <c r="R3" s="15" t="s">
        <v>34</v>
      </c>
      <c r="S3" s="16" t="s">
        <v>16</v>
      </c>
      <c r="T3" s="8"/>
      <c r="U3" s="8"/>
      <c r="V3" s="8"/>
    </row>
    <row r="4" spans="1:22" ht="18" customHeight="1">
      <c r="A4" s="5">
        <v>1</v>
      </c>
      <c r="B4" s="5">
        <v>34</v>
      </c>
      <c r="C4" s="5" t="s">
        <v>36</v>
      </c>
      <c r="D4" s="5" t="s">
        <v>15</v>
      </c>
      <c r="E4" s="6">
        <v>1</v>
      </c>
      <c r="F4" s="5"/>
      <c r="G4" s="3" t="str">
        <f t="array" ref="G4">INDEX($S$3:$S$7,MATCH(E4&amp;H4,$O$3:$O$7&amp;$R$3:$R$7,0))</f>
        <v>1G</v>
      </c>
      <c r="H4" s="3" t="str">
        <f>IF(LEN(F4)=0,"default",F4)</f>
        <v>default</v>
      </c>
      <c r="I4" s="3" t="str">
        <f>LOOKUP(A4,$O$9:$O$11,$P$9:$P$11)</f>
        <v>201-202</v>
      </c>
      <c r="J4" s="3" t="str">
        <f t="shared" ref="J4:J9" si="0">LOOKUP(A4,$O$9:$O$11,$Q$9:$Q$11)</f>
        <v>N/A</v>
      </c>
      <c r="K4" s="3" t="str">
        <f>IF(D4="Yes",C4,"N/A")</f>
        <v>server-0134</v>
      </c>
      <c r="L4" s="3" t="str">
        <f>IF(D4="Yes",IF(E4=1,"1G-NoNeg","10G-NoNeg"),"N/A")</f>
        <v>1G-NoNeg</v>
      </c>
      <c r="M4" s="3" t="str">
        <f t="shared" ref="M4:M9" si="1">IF(AND((LEFT(I4,1)="1"),(E4=10)),"No","Yes")</f>
        <v>Yes</v>
      </c>
      <c r="N4"/>
      <c r="O4" s="13">
        <v>1</v>
      </c>
      <c r="P4" s="14" t="s">
        <v>17</v>
      </c>
      <c r="Q4" s="14" t="s">
        <v>17</v>
      </c>
      <c r="R4" s="15" t="s">
        <v>52</v>
      </c>
      <c r="S4" s="16" t="s">
        <v>18</v>
      </c>
      <c r="T4" s="8"/>
      <c r="U4" s="8"/>
      <c r="V4" s="8"/>
    </row>
    <row r="5" spans="1:22" ht="18" customHeight="1">
      <c r="A5" s="5">
        <v>1</v>
      </c>
      <c r="B5" s="5">
        <v>35</v>
      </c>
      <c r="C5" s="5" t="s">
        <v>38</v>
      </c>
      <c r="D5" s="5" t="s">
        <v>17</v>
      </c>
      <c r="E5" s="6">
        <v>10</v>
      </c>
      <c r="F5" s="5"/>
      <c r="G5" s="3" t="str">
        <f t="array" ref="G5">INDEX($S$3:$S$7,MATCH(E5&amp;H5,$O$3:$O$7&amp;$R$3:$R$7,0))</f>
        <v>10G</v>
      </c>
      <c r="H5" s="3" t="str">
        <f t="shared" ref="H5:H9" si="2">IF(LEN(F5)=0,"default",F5)</f>
        <v>default</v>
      </c>
      <c r="I5" s="3" t="str">
        <f t="shared" ref="I5:I9" si="3">LOOKUP(A5,$O$9:$O$11,$P$9:$P$11)</f>
        <v>201-202</v>
      </c>
      <c r="J5" s="3" t="str">
        <f t="shared" si="0"/>
        <v>N/A</v>
      </c>
      <c r="K5" s="3" t="str">
        <f t="shared" ref="K5:K9" si="4">IF(D5="Yes",C5,"N/A")</f>
        <v>N/A</v>
      </c>
      <c r="L5" s="3" t="str">
        <f t="shared" ref="L5:L9" si="5">IF(D5="Yes",IF(E5=1,"1G-NoNeg","10G-NoNeg"),"N/A")</f>
        <v>N/A</v>
      </c>
      <c r="M5" s="3" t="str">
        <f t="shared" si="1"/>
        <v>Yes</v>
      </c>
      <c r="N5"/>
      <c r="O5" s="13">
        <v>1</v>
      </c>
      <c r="P5" s="14" t="s">
        <v>17</v>
      </c>
      <c r="Q5" s="14" t="s">
        <v>15</v>
      </c>
      <c r="R5" s="15" t="s">
        <v>53</v>
      </c>
      <c r="S5" s="16" t="s">
        <v>19</v>
      </c>
      <c r="T5" s="8"/>
      <c r="U5" s="8"/>
      <c r="V5" s="8"/>
    </row>
    <row r="6" spans="1:22" ht="18" customHeight="1">
      <c r="A6" s="5">
        <v>2</v>
      </c>
      <c r="B6" s="5">
        <v>24</v>
      </c>
      <c r="C6" s="5" t="s">
        <v>39</v>
      </c>
      <c r="D6" s="5" t="s">
        <v>17</v>
      </c>
      <c r="E6" s="6">
        <v>1</v>
      </c>
      <c r="F6" s="5" t="s">
        <v>53</v>
      </c>
      <c r="G6" s="3" t="str">
        <f t="array" ref="G6">INDEX($S$3:$S$7,MATCH(E6&amp;H6,$O$3:$O$7&amp;$R$3:$R$7,0))</f>
        <v>1G-noCDP-Infra</v>
      </c>
      <c r="H6" s="3" t="str">
        <f t="shared" si="2"/>
        <v>Lab-Infra</v>
      </c>
      <c r="I6" s="3" t="str">
        <f t="shared" si="3"/>
        <v>101-102</v>
      </c>
      <c r="J6" s="3" t="str">
        <f t="shared" si="0"/>
        <v>201-202</v>
      </c>
      <c r="K6" s="3" t="str">
        <f t="shared" si="4"/>
        <v>N/A</v>
      </c>
      <c r="L6" s="3" t="str">
        <f t="shared" si="5"/>
        <v>N/A</v>
      </c>
      <c r="M6" s="3" t="str">
        <f t="shared" si="1"/>
        <v>Yes</v>
      </c>
      <c r="N6"/>
      <c r="O6" s="17">
        <v>10</v>
      </c>
      <c r="P6" s="18" t="s">
        <v>15</v>
      </c>
      <c r="Q6" s="18" t="s">
        <v>15</v>
      </c>
      <c r="R6" s="19" t="s">
        <v>34</v>
      </c>
      <c r="S6" s="20" t="s">
        <v>20</v>
      </c>
      <c r="T6" s="8"/>
      <c r="U6" s="8"/>
      <c r="V6" s="8"/>
    </row>
    <row r="7" spans="1:22" ht="18" customHeight="1">
      <c r="A7" s="5">
        <v>2</v>
      </c>
      <c r="B7" s="5">
        <v>25</v>
      </c>
      <c r="C7" s="5" t="s">
        <v>40</v>
      </c>
      <c r="D7" s="5" t="s">
        <v>17</v>
      </c>
      <c r="E7" s="6">
        <v>1</v>
      </c>
      <c r="F7" s="5"/>
      <c r="G7" s="3" t="str">
        <f t="array" ref="G7">INDEX($S$3:$S$7,MATCH(E7&amp;H7,$O$3:$O$7&amp;$R$3:$R$7,0))</f>
        <v>1G</v>
      </c>
      <c r="H7" s="3" t="str">
        <f t="shared" si="2"/>
        <v>default</v>
      </c>
      <c r="I7" s="3" t="str">
        <f t="shared" si="3"/>
        <v>101-102</v>
      </c>
      <c r="J7" s="3" t="str">
        <f t="shared" si="0"/>
        <v>201-202</v>
      </c>
      <c r="K7" s="3" t="str">
        <f t="shared" si="4"/>
        <v>N/A</v>
      </c>
      <c r="L7" s="3" t="str">
        <f t="shared" si="5"/>
        <v>N/A</v>
      </c>
      <c r="M7" s="3" t="str">
        <f t="shared" si="1"/>
        <v>Yes</v>
      </c>
      <c r="N7"/>
      <c r="O7" s="21"/>
      <c r="P7" s="21"/>
      <c r="Q7" s="21"/>
      <c r="R7" s="21"/>
      <c r="S7" s="8"/>
      <c r="T7" s="8"/>
      <c r="U7" s="8"/>
      <c r="V7" s="8"/>
    </row>
    <row r="8" spans="1:22" ht="18" customHeight="1">
      <c r="A8" s="5">
        <v>1</v>
      </c>
      <c r="B8" s="5">
        <v>38</v>
      </c>
      <c r="C8" s="5" t="s">
        <v>41</v>
      </c>
      <c r="D8" s="5" t="s">
        <v>15</v>
      </c>
      <c r="E8" s="6">
        <v>10</v>
      </c>
      <c r="F8" s="5"/>
      <c r="G8" s="3" t="str">
        <f t="array" ref="G8">INDEX($S$3:$S$7,MATCH(E8&amp;H8,$O$3:$O$7&amp;$R$3:$R$7,0))</f>
        <v>10G</v>
      </c>
      <c r="H8" s="3" t="str">
        <f t="shared" si="2"/>
        <v>default</v>
      </c>
      <c r="I8" s="3" t="str">
        <f t="shared" si="3"/>
        <v>201-202</v>
      </c>
      <c r="J8" s="3" t="str">
        <f t="shared" si="0"/>
        <v>N/A</v>
      </c>
      <c r="K8" s="3" t="str">
        <f t="shared" si="4"/>
        <v>server-0138</v>
      </c>
      <c r="L8" s="3" t="str">
        <f t="shared" si="5"/>
        <v>10G-NoNeg</v>
      </c>
      <c r="M8" s="3" t="str">
        <f t="shared" si="1"/>
        <v>Yes</v>
      </c>
      <c r="N8"/>
      <c r="O8" s="9" t="s">
        <v>0</v>
      </c>
      <c r="P8" s="10" t="s">
        <v>21</v>
      </c>
      <c r="Q8" s="22" t="s">
        <v>70</v>
      </c>
      <c r="R8" s="8"/>
      <c r="S8" s="23" t="s">
        <v>65</v>
      </c>
      <c r="T8" s="8"/>
      <c r="U8" s="8"/>
      <c r="V8" s="8"/>
    </row>
    <row r="9" spans="1:22" ht="18" customHeight="1">
      <c r="A9" s="5">
        <v>1</v>
      </c>
      <c r="B9" s="5">
        <v>39</v>
      </c>
      <c r="C9" s="5" t="s">
        <v>42</v>
      </c>
      <c r="D9" s="5" t="s">
        <v>15</v>
      </c>
      <c r="E9" s="6">
        <v>10</v>
      </c>
      <c r="F9" s="5"/>
      <c r="G9" s="3" t="str">
        <f t="array" ref="G9">INDEX($S$3:$S$7,MATCH(E9&amp;H9,$O$3:$O$7&amp;$R$3:$R$7,0))</f>
        <v>10G</v>
      </c>
      <c r="H9" s="3" t="str">
        <f t="shared" si="2"/>
        <v>default</v>
      </c>
      <c r="I9" s="3" t="str">
        <f t="shared" si="3"/>
        <v>201-202</v>
      </c>
      <c r="J9" s="3" t="str">
        <f t="shared" si="0"/>
        <v>N/A</v>
      </c>
      <c r="K9" s="3" t="str">
        <f t="shared" si="4"/>
        <v>server-0139</v>
      </c>
      <c r="L9" s="3" t="str">
        <f t="shared" si="5"/>
        <v>10G-NoNeg</v>
      </c>
      <c r="M9" s="3" t="str">
        <f t="shared" si="1"/>
        <v>Yes</v>
      </c>
      <c r="N9"/>
      <c r="O9" s="24">
        <v>1</v>
      </c>
      <c r="P9" s="14" t="s">
        <v>22</v>
      </c>
      <c r="Q9" s="16" t="s">
        <v>71</v>
      </c>
      <c r="R9" s="8"/>
      <c r="S9" s="25" t="s">
        <v>15</v>
      </c>
      <c r="T9" s="8"/>
      <c r="U9" s="8"/>
      <c r="V9" s="8"/>
    </row>
    <row r="10" spans="1:22" ht="18" customHeight="1">
      <c r="A10" s="5"/>
      <c r="B10" s="5"/>
      <c r="C10" s="5"/>
      <c r="D10" s="5"/>
      <c r="E10" s="5"/>
      <c r="F10" s="5"/>
      <c r="G10" s="3"/>
      <c r="H10" s="3"/>
      <c r="I10" s="3"/>
      <c r="J10" s="3"/>
      <c r="K10" s="3"/>
      <c r="L10" s="3"/>
      <c r="M10" s="3"/>
      <c r="N10"/>
      <c r="O10" s="24">
        <v>2</v>
      </c>
      <c r="P10" s="14" t="s">
        <v>64</v>
      </c>
      <c r="Q10" s="16" t="s">
        <v>22</v>
      </c>
      <c r="R10" s="8"/>
      <c r="S10" s="26" t="s">
        <v>17</v>
      </c>
      <c r="T10" s="8"/>
      <c r="U10" s="8"/>
      <c r="V10" s="8"/>
    </row>
    <row r="11" spans="1:22" ht="18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 s="27">
        <v>3</v>
      </c>
      <c r="P11" s="18" t="s">
        <v>23</v>
      </c>
      <c r="Q11" s="20" t="s">
        <v>71</v>
      </c>
      <c r="R11" s="21"/>
      <c r="S11" s="8"/>
      <c r="T11" s="8"/>
      <c r="U11" s="8"/>
      <c r="V11" s="8"/>
    </row>
    <row r="12" spans="1:22" ht="18" customHeight="1">
      <c r="A12" s="2" t="s">
        <v>2</v>
      </c>
      <c r="B12" s="2" t="s">
        <v>24</v>
      </c>
      <c r="C12" s="4" t="s">
        <v>43</v>
      </c>
      <c r="D12" s="4" t="s">
        <v>44</v>
      </c>
      <c r="E12" s="2" t="s">
        <v>45</v>
      </c>
      <c r="F12" s="2" t="s">
        <v>25</v>
      </c>
      <c r="G12"/>
      <c r="H12"/>
      <c r="I12"/>
      <c r="J12"/>
      <c r="K12"/>
      <c r="L12"/>
      <c r="M12"/>
      <c r="N12"/>
      <c r="O12" s="21"/>
      <c r="P12" s="21"/>
      <c r="Q12" s="21"/>
      <c r="R12" s="21"/>
      <c r="S12" s="23" t="s">
        <v>63</v>
      </c>
      <c r="T12" s="8"/>
      <c r="U12" s="8"/>
      <c r="V12" s="8"/>
    </row>
    <row r="13" spans="1:22" ht="18" customHeight="1">
      <c r="A13" s="5" t="s">
        <v>14</v>
      </c>
      <c r="B13" s="5">
        <v>1114</v>
      </c>
      <c r="C13" s="7" t="s">
        <v>46</v>
      </c>
      <c r="D13" s="7" t="s">
        <v>47</v>
      </c>
      <c r="E13" s="5" t="s">
        <v>48</v>
      </c>
      <c r="F13" s="5" t="s">
        <v>17</v>
      </c>
      <c r="G13"/>
      <c r="H13"/>
      <c r="I13"/>
      <c r="J13"/>
      <c r="K13"/>
      <c r="L13"/>
      <c r="M13"/>
      <c r="N13"/>
      <c r="O13" s="28" t="s">
        <v>26</v>
      </c>
      <c r="P13" s="21"/>
      <c r="Q13" s="21"/>
      <c r="R13" s="21"/>
      <c r="S13" s="29">
        <v>1</v>
      </c>
      <c r="T13" s="8"/>
      <c r="U13" s="8"/>
      <c r="V13" s="8"/>
    </row>
    <row r="14" spans="1:22" ht="18" customHeight="1">
      <c r="A14" s="5" t="s">
        <v>36</v>
      </c>
      <c r="B14" s="5">
        <v>1114</v>
      </c>
      <c r="C14" s="7" t="s">
        <v>46</v>
      </c>
      <c r="D14" s="7" t="s">
        <v>47</v>
      </c>
      <c r="E14" s="5" t="s">
        <v>48</v>
      </c>
      <c r="F14" s="5" t="s">
        <v>17</v>
      </c>
      <c r="G14"/>
      <c r="H14"/>
      <c r="I14"/>
      <c r="J14"/>
      <c r="K14"/>
      <c r="L14"/>
      <c r="M14"/>
      <c r="N14"/>
      <c r="O14" s="30" t="s">
        <v>27</v>
      </c>
      <c r="P14" s="21"/>
      <c r="Q14" s="21"/>
      <c r="R14" s="21"/>
      <c r="S14" s="31">
        <v>10</v>
      </c>
      <c r="T14" s="8"/>
      <c r="U14" s="8"/>
      <c r="V14" s="8"/>
    </row>
    <row r="15" spans="1:22" ht="18" customHeight="1">
      <c r="A15" s="5" t="s">
        <v>38</v>
      </c>
      <c r="B15" s="5">
        <v>1114</v>
      </c>
      <c r="C15" s="7" t="s">
        <v>46</v>
      </c>
      <c r="D15" s="7" t="s">
        <v>47</v>
      </c>
      <c r="E15" s="5" t="s">
        <v>48</v>
      </c>
      <c r="F15" s="5" t="s">
        <v>17</v>
      </c>
      <c r="G15"/>
      <c r="H15"/>
      <c r="I15"/>
      <c r="J15"/>
      <c r="K15"/>
      <c r="L15"/>
      <c r="M15"/>
      <c r="N15"/>
      <c r="O15" s="30" t="s">
        <v>28</v>
      </c>
      <c r="P15" s="21"/>
      <c r="Q15" s="21"/>
      <c r="R15" s="21"/>
      <c r="S15" s="8"/>
      <c r="T15" s="8"/>
      <c r="U15" s="8"/>
      <c r="V15" s="8"/>
    </row>
    <row r="16" spans="1:22" ht="18" customHeight="1">
      <c r="A16" s="5" t="s">
        <v>14</v>
      </c>
      <c r="B16" s="5">
        <v>1117</v>
      </c>
      <c r="C16" s="7" t="s">
        <v>46</v>
      </c>
      <c r="D16" s="7" t="s">
        <v>50</v>
      </c>
      <c r="E16" s="5" t="s">
        <v>50</v>
      </c>
      <c r="F16" s="5" t="s">
        <v>17</v>
      </c>
      <c r="G16"/>
      <c r="H16"/>
      <c r="I16"/>
      <c r="J16"/>
      <c r="K16"/>
      <c r="L16"/>
      <c r="M16"/>
      <c r="N16"/>
      <c r="O16" s="32" t="s">
        <v>29</v>
      </c>
      <c r="P16" s="21"/>
      <c r="Q16" s="21"/>
      <c r="R16" s="21"/>
      <c r="S16" s="8"/>
      <c r="T16" s="8"/>
      <c r="U16" s="8"/>
      <c r="V16" s="8"/>
    </row>
    <row r="17" spans="1:22" ht="18" customHeight="1">
      <c r="A17" s="5" t="s">
        <v>36</v>
      </c>
      <c r="B17" s="5">
        <v>1117</v>
      </c>
      <c r="C17" s="7" t="s">
        <v>46</v>
      </c>
      <c r="D17" s="7" t="s">
        <v>50</v>
      </c>
      <c r="E17" s="5" t="s">
        <v>50</v>
      </c>
      <c r="F17" s="5" t="s">
        <v>17</v>
      </c>
      <c r="G17"/>
      <c r="H17"/>
      <c r="I17"/>
      <c r="J17"/>
      <c r="K17"/>
      <c r="L17"/>
      <c r="M17"/>
      <c r="N17"/>
      <c r="O17" s="21"/>
      <c r="P17" s="21"/>
      <c r="Q17" s="21"/>
      <c r="R17" s="21"/>
      <c r="S17" s="8"/>
      <c r="T17" s="8"/>
      <c r="U17" s="8"/>
      <c r="V17" s="8"/>
    </row>
    <row r="18" spans="1:22" ht="18" customHeight="1">
      <c r="A18" s="5" t="s">
        <v>38</v>
      </c>
      <c r="B18" s="5">
        <v>1117</v>
      </c>
      <c r="C18" s="7" t="s">
        <v>46</v>
      </c>
      <c r="D18" s="7" t="s">
        <v>50</v>
      </c>
      <c r="E18" s="5" t="s">
        <v>50</v>
      </c>
      <c r="F18" s="5" t="s">
        <v>17</v>
      </c>
      <c r="G18"/>
      <c r="H18"/>
      <c r="I18"/>
      <c r="J18"/>
      <c r="K18"/>
      <c r="L18"/>
      <c r="M18"/>
      <c r="N18"/>
      <c r="O18" s="21"/>
      <c r="P18" s="21"/>
      <c r="Q18" s="21"/>
      <c r="R18" s="21"/>
      <c r="S18" s="8"/>
      <c r="T18" s="8"/>
      <c r="U18" s="8"/>
      <c r="V18" s="8"/>
    </row>
    <row r="19" spans="1:22" ht="18" customHeight="1">
      <c r="A19" s="5" t="s">
        <v>39</v>
      </c>
      <c r="B19" s="5">
        <v>1115</v>
      </c>
      <c r="C19" s="7" t="s">
        <v>46</v>
      </c>
      <c r="D19" s="7" t="s">
        <v>47</v>
      </c>
      <c r="E19" s="5" t="s">
        <v>49</v>
      </c>
      <c r="F19" s="5" t="s">
        <v>15</v>
      </c>
      <c r="G19"/>
      <c r="H19"/>
      <c r="I19"/>
      <c r="J19"/>
      <c r="K19"/>
      <c r="L19"/>
      <c r="M19"/>
      <c r="N19"/>
      <c r="O19" s="9" t="s">
        <v>30</v>
      </c>
      <c r="P19" s="10" t="s">
        <v>31</v>
      </c>
      <c r="Q19" s="12" t="s">
        <v>32</v>
      </c>
      <c r="R19" s="21"/>
      <c r="S19" s="8"/>
      <c r="T19" s="8"/>
      <c r="U19" s="8"/>
      <c r="V19" s="8"/>
    </row>
    <row r="20" spans="1:22" ht="18" customHeight="1">
      <c r="A20" s="5" t="s">
        <v>40</v>
      </c>
      <c r="B20" s="5">
        <v>1115</v>
      </c>
      <c r="C20" s="7" t="s">
        <v>46</v>
      </c>
      <c r="D20" s="7" t="s">
        <v>47</v>
      </c>
      <c r="E20" s="5" t="s">
        <v>49</v>
      </c>
      <c r="F20" s="5" t="s">
        <v>15</v>
      </c>
      <c r="G20"/>
      <c r="H20"/>
      <c r="I20"/>
      <c r="J20"/>
      <c r="K20"/>
      <c r="L20"/>
      <c r="M20"/>
      <c r="N20"/>
      <c r="O20" s="24" t="s">
        <v>57</v>
      </c>
      <c r="P20" s="14" t="s">
        <v>12</v>
      </c>
      <c r="Q20" s="16" t="s">
        <v>62</v>
      </c>
      <c r="R20" s="21"/>
      <c r="S20" s="8"/>
      <c r="T20" s="8"/>
      <c r="U20" s="8"/>
      <c r="V20" s="8"/>
    </row>
    <row r="21" spans="1:22" ht="18" customHeight="1">
      <c r="A21" s="5" t="s">
        <v>41</v>
      </c>
      <c r="B21" s="5">
        <v>1115</v>
      </c>
      <c r="C21" s="7" t="s">
        <v>46</v>
      </c>
      <c r="D21" s="7" t="s">
        <v>47</v>
      </c>
      <c r="E21" s="5" t="s">
        <v>49</v>
      </c>
      <c r="F21" s="5" t="s">
        <v>15</v>
      </c>
      <c r="G21"/>
      <c r="H21"/>
      <c r="I21"/>
      <c r="J21"/>
      <c r="K21"/>
      <c r="L21"/>
      <c r="M21"/>
      <c r="N21"/>
      <c r="O21" s="24" t="s">
        <v>60</v>
      </c>
      <c r="P21" s="14" t="s">
        <v>12</v>
      </c>
      <c r="Q21" s="16" t="s">
        <v>61</v>
      </c>
      <c r="R21" s="21"/>
      <c r="S21" s="8"/>
      <c r="T21" s="8"/>
      <c r="U21" s="8"/>
      <c r="V21" s="8"/>
    </row>
    <row r="22" spans="1:22" ht="18" customHeight="1">
      <c r="A22" s="5"/>
      <c r="B22" s="5"/>
      <c r="C22" s="5"/>
      <c r="D22" s="5"/>
      <c r="E22" s="5"/>
      <c r="F22" s="5"/>
      <c r="G22"/>
      <c r="H22"/>
      <c r="I22"/>
      <c r="J22"/>
      <c r="K22"/>
      <c r="L22"/>
      <c r="M22"/>
      <c r="N22"/>
      <c r="O22" s="24" t="s">
        <v>53</v>
      </c>
      <c r="P22" s="14" t="s">
        <v>33</v>
      </c>
      <c r="Q22" s="33" t="s">
        <v>54</v>
      </c>
      <c r="R22" s="21"/>
      <c r="S22" s="8"/>
      <c r="T22" s="8"/>
      <c r="U22" s="8"/>
      <c r="V22" s="8"/>
    </row>
    <row r="23" spans="1:22" ht="18" customHeight="1">
      <c r="A23" s="5"/>
      <c r="B23" s="5"/>
      <c r="C23" s="5"/>
      <c r="D23" s="5"/>
      <c r="E23" s="5"/>
      <c r="F23" s="5"/>
      <c r="G23"/>
      <c r="H23"/>
      <c r="I23"/>
      <c r="J23"/>
      <c r="K23"/>
      <c r="L23"/>
      <c r="M23"/>
      <c r="N23"/>
      <c r="O23" s="24" t="s">
        <v>52</v>
      </c>
      <c r="P23" s="14" t="s">
        <v>33</v>
      </c>
      <c r="Q23" s="16" t="s">
        <v>35</v>
      </c>
      <c r="R23" s="21"/>
      <c r="S23" s="8"/>
      <c r="T23" s="8"/>
      <c r="U23" s="8"/>
      <c r="V23" s="8"/>
    </row>
    <row r="24" spans="1:22" ht="18" customHeight="1">
      <c r="A24" s="7"/>
      <c r="B24" s="7"/>
      <c r="C24" s="7"/>
      <c r="D24" s="7"/>
      <c r="E24" s="7"/>
      <c r="F24" s="7"/>
      <c r="O24" s="24" t="s">
        <v>34</v>
      </c>
      <c r="P24" s="14" t="s">
        <v>33</v>
      </c>
      <c r="Q24" s="16" t="s">
        <v>35</v>
      </c>
      <c r="R24" s="8"/>
      <c r="S24" s="8"/>
      <c r="T24" s="8"/>
      <c r="U24" s="8"/>
      <c r="V24" s="8"/>
    </row>
    <row r="25" spans="1:22" ht="18" customHeight="1">
      <c r="A25" s="7"/>
      <c r="B25" s="7"/>
      <c r="C25" s="7"/>
      <c r="D25" s="7"/>
      <c r="E25" s="7"/>
      <c r="F25" s="7"/>
      <c r="O25" s="34"/>
      <c r="P25" s="15"/>
      <c r="Q25" s="35"/>
      <c r="R25" s="8"/>
      <c r="S25" s="8"/>
      <c r="T25" s="8"/>
      <c r="U25" s="8"/>
      <c r="V25" s="8"/>
    </row>
    <row r="26" spans="1:22" ht="18" customHeight="1">
      <c r="O26" s="34"/>
      <c r="P26" s="15"/>
      <c r="Q26" s="35"/>
      <c r="R26" s="8"/>
      <c r="S26" s="8"/>
      <c r="T26" s="8"/>
      <c r="U26" s="8"/>
      <c r="V26" s="8"/>
    </row>
    <row r="27" spans="1:22" ht="18" customHeight="1">
      <c r="O27" s="34" t="s">
        <v>55</v>
      </c>
      <c r="P27" s="15" t="s">
        <v>56</v>
      </c>
      <c r="Q27" s="35"/>
      <c r="R27" s="8"/>
      <c r="S27" s="8"/>
      <c r="T27" s="8"/>
      <c r="U27" s="8"/>
      <c r="V27" s="8"/>
    </row>
    <row r="28" spans="1:22" ht="18" customHeight="1">
      <c r="O28" s="36" t="s">
        <v>58</v>
      </c>
      <c r="P28" s="19" t="s">
        <v>59</v>
      </c>
      <c r="Q28" s="37"/>
      <c r="R28" s="8"/>
      <c r="S28" s="8"/>
      <c r="T28" s="8"/>
      <c r="U28" s="8"/>
      <c r="V28" s="8"/>
    </row>
    <row r="29" spans="1:22" ht="18" customHeight="1">
      <c r="O29" s="8"/>
      <c r="P29" s="8"/>
      <c r="Q29" s="8"/>
      <c r="R29" s="8"/>
      <c r="S29" s="8"/>
      <c r="T29" s="8"/>
      <c r="U29" s="8"/>
      <c r="V29" s="8"/>
    </row>
  </sheetData>
  <conditionalFormatting sqref="M3">
    <cfRule type="cellIs" dxfId="3" priority="2" operator="equal">
      <formula>"No"</formula>
    </cfRule>
  </conditionalFormatting>
  <conditionalFormatting sqref="M4:M9">
    <cfRule type="cellIs" dxfId="1" priority="1" operator="equal">
      <formula>"No"</formula>
    </cfRule>
  </conditionalFormatting>
  <dataValidations count="3">
    <dataValidation type="list" allowBlank="1" showInputMessage="1" showErrorMessage="1" sqref="F3:F9">
      <formula1>$O$20:$O$24</formula1>
    </dataValidation>
    <dataValidation type="list" allowBlank="1" showInputMessage="1" showErrorMessage="1" sqref="F13:F21">
      <formula1>$S$9:$S$10</formula1>
    </dataValidation>
    <dataValidation type="list" allowBlank="1" showInputMessage="1" showErrorMessage="1" sqref="E3:E9">
      <formula1>$S$13:$S$14</formula1>
    </dataValidation>
  </dataValidations>
  <pageMargins left="0.7" right="0.7" top="0.75" bottom="0.75" header="0.3" footer="0.3"/>
  <pageSetup paperSize="9" orientation="portrait" horizontalDpi="4294967292" verticalDpi="4294967292"/>
  <ignoredErrors>
    <ignoredError sqref="H3:H9 G3:G9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eployBt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177800</xdr:colOff>
                    <xdr:row>3</xdr:row>
                    <xdr:rowOff>38100</xdr:rowOff>
                  </from>
                  <to>
                    <xdr:col>13</xdr:col>
                    <xdr:colOff>1079500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5"/>
  <sheetViews>
    <sheetView workbookViewId="0">
      <selection activeCell="B6" sqref="B6"/>
    </sheetView>
  </sheetViews>
  <sheetFormatPr baseColWidth="10" defaultRowHeight="14" x14ac:dyDescent="0"/>
  <sheetData>
    <row r="2" spans="1:2">
      <c r="A2" t="s">
        <v>66</v>
      </c>
      <c r="B2" t="s">
        <v>67</v>
      </c>
    </row>
    <row r="3" spans="1:2">
      <c r="A3" t="s">
        <v>68</v>
      </c>
      <c r="B3" t="s">
        <v>69</v>
      </c>
    </row>
    <row r="4" spans="1:2">
      <c r="B4" t="s">
        <v>72</v>
      </c>
    </row>
    <row r="5" spans="1:2">
      <c r="B5" t="s">
        <v>74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CablePlan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2015-09-29T08:19:31Z</dcterms:modified>
</cp:coreProperties>
</file>